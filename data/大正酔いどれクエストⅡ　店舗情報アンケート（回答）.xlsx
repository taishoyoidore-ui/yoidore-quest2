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ォームの回答 1" sheetId="1" r:id="rId5"/>
    <sheet state="visible" name="シート1" sheetId="2" r:id="rId6"/>
  </sheets>
  <definedNames>
    <definedName hidden="1" localSheetId="0" name="_xlnm._FilterDatabase">'フォームの回答 1'!$A$1:$AR$42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2">
      <text>
        <t xml:space="preserve">返信システムがこの値を更新しました。</t>
      </text>
    </comment>
  </commentList>
</comments>
</file>

<file path=xl/sharedStrings.xml><?xml version="1.0" encoding="utf-8"?>
<sst xmlns="http://schemas.openxmlformats.org/spreadsheetml/2006/main" count="959" uniqueCount="559">
  <si>
    <t>ID</t>
  </si>
  <si>
    <t>店舗名</t>
  </si>
  <si>
    <t>キャッチコピー</t>
  </si>
  <si>
    <t>Instagram</t>
  </si>
  <si>
    <t>住所</t>
  </si>
  <si>
    <t>googlemap</t>
  </si>
  <si>
    <t>Tようび</t>
  </si>
  <si>
    <t>牛すじとお酒とおばんざい</t>
  </si>
  <si>
    <t>https://www.instagram.com/t_youbi_</t>
  </si>
  <si>
    <t>大阪市大正区三軒家西１丁目４−１５ 大正コペンシルビル 2F</t>
  </si>
  <si>
    <t>https://maps.app.goo.gl/zEmF7y9d2rdJpG8a7</t>
  </si>
  <si>
    <t>バーガー酒場ハンバーガー・ママ</t>
  </si>
  <si>
    <t>一品と酒とグルメバーガー</t>
  </si>
  <si>
    <t>https://www.instagram.com/hamburger.mama</t>
  </si>
  <si>
    <t>大阪市大正区三軒家東１丁目１０−２０</t>
  </si>
  <si>
    <t>https://maps.app.goo.gl/LvrTR4thHgoGpoRc7</t>
  </si>
  <si>
    <t>大正焼肉SUNナスビ!!</t>
  </si>
  <si>
    <t>通える高級焼肉</t>
  </si>
  <si>
    <t>https://www.instagram.com/sunnasubi0675085821</t>
  </si>
  <si>
    <t>大阪市大正区三軒家東１丁目５−１０</t>
  </si>
  <si>
    <t>https://maps.app.goo.gl/9DHWbdXcG6VwQRg17</t>
  </si>
  <si>
    <t>大正居酒屋タイガーパンチ</t>
  </si>
  <si>
    <t>創作ガチ中華</t>
  </si>
  <si>
    <t>https://www.instagram.com/taipan_taisho</t>
  </si>
  <si>
    <t>タイムスタンプ</t>
  </si>
  <si>
    <t>大阪市大正区三軒家東１丁目５−１３</t>
  </si>
  <si>
    <t>https://maps.app.goo.gl/wSUzPpSDHh3tzyap6</t>
  </si>
  <si>
    <t>ハイエナハイツ</t>
  </si>
  <si>
    <t>ジビエ・肉料理</t>
  </si>
  <si>
    <t>https://www.instagram.com/haiena_haitu</t>
  </si>
  <si>
    <t>店名</t>
  </si>
  <si>
    <t>大正酔いどれクエストⅡに参加されますか？</t>
  </si>
  <si>
    <t xml:space="preserve">  エリア  </t>
  </si>
  <si>
    <t>カテゴリ</t>
  </si>
  <si>
    <t>スタイル</t>
  </si>
  <si>
    <t>大阪市大正区三軒家西１丁目５−７</t>
  </si>
  <si>
    <t>https://maps.app.goo.gl/JVXGfL5NwG4vKz2t6</t>
  </si>
  <si>
    <t>タイプ</t>
  </si>
  <si>
    <t>テイクアウト</t>
  </si>
  <si>
    <t>どれクエ対応曜日</t>
  </si>
  <si>
    <t>どれクエ対応時間：開始</t>
  </si>
  <si>
    <t>どれクエ対応時間：終了</t>
  </si>
  <si>
    <t>提供時間に対する補足</t>
  </si>
  <si>
    <t>CHWEETS キイロのお店</t>
  </si>
  <si>
    <t>クレープ酒場・夜カフェ</t>
  </si>
  <si>
    <t>https://www.instagram.com/chweets_1138</t>
  </si>
  <si>
    <t>決済方法</t>
  </si>
  <si>
    <t>店舗クーポンを希望されますか？</t>
  </si>
  <si>
    <t xml:space="preserve">  「どれクエⅡ」にはどの企画で参加されますか？  </t>
  </si>
  <si>
    <t xml:space="preserve">  酔いどれセット名  </t>
  </si>
  <si>
    <t xml:space="preserve">  酔いどれセット内容  </t>
  </si>
  <si>
    <t>大阪市大正区三軒家西１丁目１７−１７</t>
  </si>
  <si>
    <t>https://maps.app.goo.gl/rBmQt912byGEZgbU7</t>
  </si>
  <si>
    <t>セット内容備考</t>
  </si>
  <si>
    <t xml:space="preserve">  価格(税込)  </t>
  </si>
  <si>
    <t>チャージ料(税込)</t>
  </si>
  <si>
    <t>限定数量</t>
  </si>
  <si>
    <t>クエスト名</t>
  </si>
  <si>
    <t>BAR K'S〜ケーズ〜</t>
  </si>
  <si>
    <t>ダーツ・カラオケ</t>
  </si>
  <si>
    <t>https://www.instagram.com/bar_ks_taisho</t>
  </si>
  <si>
    <t>クエスト内容/報酬</t>
  </si>
  <si>
    <t>クエスト料金(税込)</t>
  </si>
  <si>
    <t>クエストチャージ料 (税込)</t>
  </si>
  <si>
    <t>クエスト備考</t>
  </si>
  <si>
    <t>酔いどれセット名</t>
  </si>
  <si>
    <t>大阪市大正区三軒家西１丁目４−１６ベルコモンズ大正2D</t>
  </si>
  <si>
    <t>https://maps.app.goo.gl/h1iC1PzMoU3TmyDg9</t>
  </si>
  <si>
    <t xml:space="preserve">  酔いどれセット内容   2</t>
  </si>
  <si>
    <t>セット内容備考 2</t>
  </si>
  <si>
    <t>価格(税込)</t>
  </si>
  <si>
    <t>チャージ料(税込) 2</t>
  </si>
  <si>
    <t>限定数量 2</t>
  </si>
  <si>
    <t>クエスト名 2</t>
  </si>
  <si>
    <t>Bar Six Nine</t>
  </si>
  <si>
    <t>ショットバー</t>
  </si>
  <si>
    <t>https://www.instagram.com/bar_six_nine_0692</t>
  </si>
  <si>
    <t>クエスト内容/報酬 2</t>
  </si>
  <si>
    <t>クエスト料金(税込) 2</t>
  </si>
  <si>
    <t>クエストチャージ料 (税込) 2</t>
  </si>
  <si>
    <t>クエスト備考 2</t>
  </si>
  <si>
    <t>お客様向け参加証(缶バッチ)　販売希望数は？</t>
  </si>
  <si>
    <t>大阪市大正区三軒家東１丁目５</t>
  </si>
  <si>
    <t>https://maps.app.goo.gl/j4hhdwnWPQZ365rk7</t>
  </si>
  <si>
    <t>B.B.QホルモンMOU</t>
  </si>
  <si>
    <t>立ち飲み・ホルモン</t>
  </si>
  <si>
    <t>https://www.instagram.com/bbq.mou.29</t>
  </si>
  <si>
    <t>特定日</t>
  </si>
  <si>
    <t>大阪市大正区三軒家東１丁目２−４</t>
  </si>
  <si>
    <r>
      <rPr>
        <rFont val="&quot;Meiryo UI&quot;, monospace"/>
        <color rgb="FF1155CC"/>
        <sz val="11.0"/>
        <u/>
      </rPr>
      <t>https://maps.app.goo.gl/kCXY14AkjvY7xeAX8</t>
    </r>
  </si>
  <si>
    <t>参加する</t>
  </si>
  <si>
    <t>三軒家西</t>
  </si>
  <si>
    <t>おばんざい</t>
  </si>
  <si>
    <t>テールブあり</t>
  </si>
  <si>
    <t>だしと鶏ちゃぼ大正店</t>
  </si>
  <si>
    <t>焼き鳥・お出汁料理</t>
  </si>
  <si>
    <t>https://www.instagram.com/chabo_taisho</t>
  </si>
  <si>
    <t>サク飲み</t>
  </si>
  <si>
    <t>テイクアウトOK</t>
  </si>
  <si>
    <t>日曜日, 火曜日, 水曜日, 木曜日, 金曜日, 土曜日</t>
  </si>
  <si>
    <t>大阪市大正区三軒家東１丁目１７−１６</t>
  </si>
  <si>
    <t>https://maps.app.goo.gl/a9AcRcjV9q895Jeo6</t>
  </si>
  <si>
    <t>土日祝は15時～22時</t>
  </si>
  <si>
    <t>現金, paypay, クレジットカード, d払い、楽天pay、aupay、wesmo</t>
  </si>
  <si>
    <t>はい。希望します。</t>
  </si>
  <si>
    <t>「酔いどれセット」のみで参加</t>
  </si>
  <si>
    <t>ふじわら君</t>
  </si>
  <si>
    <t>創作料理居酒屋</t>
  </si>
  <si>
    <t>https://www.instagram.com/fujiwarakun_taisho</t>
  </si>
  <si>
    <t>選べるおばんざい3種セット</t>
  </si>
  <si>
    <t>おばんざい小盛3種+ドリンク1杯</t>
  </si>
  <si>
    <t>数種類あるおばんざいから3種類選べます。</t>
  </si>
  <si>
    <t>大阪市大正区三軒家西１丁目１−７</t>
  </si>
  <si>
    <t>酔いどれセットの方は０円</t>
  </si>
  <si>
    <t>https://maps.app.goo.gl/svhsvpjHHy4Wfxv49</t>
  </si>
  <si>
    <t>おばんざいが無くなるまで。</t>
  </si>
  <si>
    <t>大正サロン髭とボヰン</t>
  </si>
  <si>
    <t>立ち飲み・創作料理</t>
  </si>
  <si>
    <t>https://www.instagram.com/hige_to.boin</t>
  </si>
  <si>
    <t>大阪市大正区三軒家東１丁目５−１４</t>
  </si>
  <si>
    <t>https://maps.app.goo.gl/SGWcKvKGnM5jmSea6</t>
  </si>
  <si>
    <t>大正バル誠~ｓｅｉ~</t>
  </si>
  <si>
    <t>串カツ・牡蠣・沖縄料理</t>
  </si>
  <si>
    <t>https://www.instagram.com/izakaya_sei</t>
  </si>
  <si>
    <t>大阪市大正区三軒家東１丁目３−１１</t>
  </si>
  <si>
    <t>https://maps.app.goo.gl/2TSaY99KjvafbH728</t>
  </si>
  <si>
    <t>居酒屋たすいち</t>
  </si>
  <si>
    <t>もつ鍋酒屋</t>
  </si>
  <si>
    <t>https://www.instagram.com/izakaya_tasuichi</t>
  </si>
  <si>
    <t>大阪市大正区三軒家東１丁目８−２３</t>
  </si>
  <si>
    <t>https://maps.app.goo.gl/GSNQFGQG6kZgSscz7</t>
  </si>
  <si>
    <t>地鶏る</t>
  </si>
  <si>
    <t>宮崎鶏の炭火焼き</t>
  </si>
  <si>
    <t>https://www.instagram.com/jidoru_1013</t>
  </si>
  <si>
    <t>大阪市大正区泉尾３丁目２−７ 1階</t>
  </si>
  <si>
    <t>https://maps.app.goo.gl/xrZVAtv7kBYFbYxU8</t>
  </si>
  <si>
    <t>駅前</t>
  </si>
  <si>
    <t>ジビエ肉</t>
  </si>
  <si>
    <t>テーブルあり</t>
  </si>
  <si>
    <t>腹ごしらえ</t>
  </si>
  <si>
    <t>沖縄酒場きじむなーの森</t>
  </si>
  <si>
    <t>沖縄料理</t>
  </si>
  <si>
    <t>https://www.instagram.com/kijimuna_no_mori.03.03</t>
  </si>
  <si>
    <t>週末延長可能性あり</t>
  </si>
  <si>
    <t>現金, paypay</t>
  </si>
  <si>
    <t>大阪市大正区三軒家西１丁目１−１４ タグボート大正 2F</t>
  </si>
  <si>
    <t>https://maps.app.goo.gl/BYfv2YxJfrB6RUYV8</t>
  </si>
  <si>
    <t>一品とお酒</t>
  </si>
  <si>
    <t>ナンチャツ亭のエリー</t>
  </si>
  <si>
    <t>昭和レトロなおばんざい</t>
  </si>
  <si>
    <t>https://www.instagram.com/nanchatteino_erie</t>
  </si>
  <si>
    <t>限定30セット / 日</t>
  </si>
  <si>
    <t>大阪市大正区三軒家東１丁目１７−３３ 平和相互商事大正橋ビル 1F</t>
  </si>
  <si>
    <t>https://maps.app.goo.gl/kGdEWrLq5bwaRyeX7</t>
  </si>
  <si>
    <t>Neboke-ネボケ</t>
  </si>
  <si>
    <t>隠れ家バー</t>
  </si>
  <si>
    <t>https://www.instagram.com/Neboke_bar</t>
  </si>
  <si>
    <t>https://maps.app.goo.gl/WiS8rFbF993DeBHp9</t>
  </si>
  <si>
    <t>串焼き酒場ニコヤ</t>
  </si>
  <si>
    <t>創作鉄板串焼き</t>
  </si>
  <si>
    <t>https://www.instagram.com/nicoya1203</t>
  </si>
  <si>
    <t>大阪市大正区三軒家西１丁目２５−１０ 1階</t>
  </si>
  <si>
    <t>https://maps.app.goo.gl/xUqC8zQH77DDPQ7c9</t>
  </si>
  <si>
    <t>カフェ</t>
  </si>
  <si>
    <t>ひと休み</t>
  </si>
  <si>
    <t>Barカセット</t>
  </si>
  <si>
    <t>80's・ロック・駄菓子</t>
  </si>
  <si>
    <t>https://www.instagram.com/showz0069</t>
  </si>
  <si>
    <t>火曜日, 水曜日, 木曜日, 金曜日, 土曜日</t>
  </si>
  <si>
    <t>LO 22:30</t>
  </si>
  <si>
    <t>現金</t>
  </si>
  <si>
    <t>大阪市大正区三軒家東１丁目２−５ 1F</t>
  </si>
  <si>
    <t>https://maps.app.goo.gl/uUPFxJA4w57PqYzf7</t>
  </si>
  <si>
    <t>オレオピロークレープとハンドドリップコーヒー(自家製生チョコ付き)</t>
  </si>
  <si>
    <t>包みタイプのクレープとハンドドリップコーヒー(自家製生チョコ付き)のセットです</t>
  </si>
  <si>
    <t>焼肉ホルモンたろちゃん大正橋店</t>
  </si>
  <si>
    <t>駅前で昼から飲める店</t>
  </si>
  <si>
    <t>https://www.instagram.com/tarochan_taisho</t>
  </si>
  <si>
    <t>大阪市大正区三軒家東１丁目２−６</t>
  </si>
  <si>
    <t>https://maps.app.goo.gl/P1ytbeyLANs4TgD19</t>
  </si>
  <si>
    <t>鉄板焼き栄八大阪大正店</t>
  </si>
  <si>
    <t>お好み・焼きそば・鉄板居酒屋</t>
  </si>
  <si>
    <t>https://www.instagram.com/teppanyaki_eihachi</t>
  </si>
  <si>
    <t>大阪市大正区三軒家西１丁目６−３</t>
  </si>
  <si>
    <t>https://maps.app.goo.gl/SgdnoFYhwHF52vjd8</t>
  </si>
  <si>
    <t>うて食堂 大正BASE</t>
  </si>
  <si>
    <t>蒸し料理で飲める食堂</t>
  </si>
  <si>
    <t>https://www.instagram.com/ura_omote.shokudou</t>
  </si>
  <si>
    <t>ナンチャッ亭のエリー</t>
  </si>
  <si>
    <t>大阪市大正区三軒家東１丁目１０−２１</t>
  </si>
  <si>
    <t>https://maps.app.goo.gl/rc5NfzqfDAM7pevWA</t>
  </si>
  <si>
    <t>三軒家東</t>
  </si>
  <si>
    <t>カウンター</t>
  </si>
  <si>
    <t>大正焼肉ホルモンK2+</t>
  </si>
  <si>
    <t>焼肉ホルモン・韓国料理</t>
  </si>
  <si>
    <t>https://www.instagram.com/yakiniku.k2plus</t>
  </si>
  <si>
    <t>テイクアウト不可</t>
  </si>
  <si>
    <t>日曜日, 月曜日, 木曜日, 金曜日, 土曜日</t>
  </si>
  <si>
    <t>一休みセット</t>
  </si>
  <si>
    <t>ひと口おばんざいセットと1ドリンク</t>
  </si>
  <si>
    <t>大阪市大正区三軒家西１丁目９−３６</t>
  </si>
  <si>
    <t>https://maps.app.goo.gl/9Wt44gRpXPDoTt1q9</t>
  </si>
  <si>
    <t>お腹に優しいおばんざいひと口サイズの盛り合わせ</t>
  </si>
  <si>
    <t>限定30</t>
  </si>
  <si>
    <t>呑み処 三日月</t>
  </si>
  <si>
    <t>カラオケ居酒屋</t>
  </si>
  <si>
    <t>https://www.instagram.com/moon.3.3.3</t>
  </si>
  <si>
    <t>大阪市大正区三軒家東１丁目４−８</t>
  </si>
  <si>
    <t>呑笑戎屋</t>
  </si>
  <si>
    <t>地元親子の大衆居酒屋</t>
  </si>
  <si>
    <t>https://www.instagram.com/ebisuya.taisyo</t>
  </si>
  <si>
    <t>大阪市大正区三軒家東１丁目５－１０</t>
  </si>
  <si>
    <t>三ちゃん</t>
  </si>
  <si>
    <t>海鮮居酒屋</t>
  </si>
  <si>
    <t>https://www.instagram.com/sanchan.o2</t>
  </si>
  <si>
    <t>ハンバーガー</t>
  </si>
  <si>
    <t>大阪市大正区三軒家西１丁目１７−２０</t>
  </si>
  <si>
    <t>https://maps.app.goo.gl/DXhUb1vmR7aNUMMT8</t>
  </si>
  <si>
    <t>月曜日, 火曜日, 水曜日, 木曜日, 金曜日, 土曜日</t>
  </si>
  <si>
    <t>火・木は18:00オープン</t>
  </si>
  <si>
    <t>現金, paypay, クレジットカード, 各種QR決済</t>
  </si>
  <si>
    <t>SoundBar花いち</t>
  </si>
  <si>
    <t>カラオケバー</t>
  </si>
  <si>
    <t>どれクエII限定ミニバーガー＋ドリンクセット</t>
  </si>
  <si>
    <t>https://www.instagram.com/soundbar__hanaichi</t>
  </si>
  <si>
    <t>イベント期間限定ミニバーガー＋ちょいポテト＋1ドリンク</t>
  </si>
  <si>
    <t>大阪市大正区三軒家東１丁目５−１４ 2階</t>
  </si>
  <si>
    <t>https://maps.app.goo.gl/typkWCnoPJKCUWyH8</t>
  </si>
  <si>
    <t>ザ·沖縄</t>
  </si>
  <si>
    <t>沖縄料理・カラオケ居酒屋</t>
  </si>
  <si>
    <t>https://www.instagram.com/za.okinawa</t>
  </si>
  <si>
    <t>https://maps.app.goo.gl/Prnu5oBX6hyQzpft6</t>
  </si>
  <si>
    <t>NONA</t>
  </si>
  <si>
    <t>ホットサンド・カフェバー</t>
  </si>
  <si>
    <t>https://www.instagram.com/cafe.bar.nona9</t>
  </si>
  <si>
    <t>大阪市大正区泉尾２丁目１１−９</t>
  </si>
  <si>
    <r>
      <rPr>
        <rFont val="&quot;Meiryo UI&quot;, monospace"/>
        <color rgb="FF1155CC"/>
        <sz val="11.0"/>
        <u/>
      </rPr>
      <t>https://maps.app.goo.gl/hsSrRGzYZdxe5zo27</t>
    </r>
  </si>
  <si>
    <t>BARカセット</t>
  </si>
  <si>
    <t>BAR</t>
  </si>
  <si>
    <t>夜遊び</t>
  </si>
  <si>
    <t>魚と沖縄料理 えっせんす</t>
  </si>
  <si>
    <t>お酒は地球を救う</t>
  </si>
  <si>
    <t>https://www.instagram.com/essence_taishou</t>
  </si>
  <si>
    <t>全て</t>
  </si>
  <si>
    <t>店舗STAFFのシフトにより若干の時間変動あり</t>
  </si>
  <si>
    <t>大阪市大正区泉尾３丁目１２−１７ 泉尾商店 街内</t>
  </si>
  <si>
    <t>https://maps.app.goo.gl/NL1uEH8kq3MhMEzdA</t>
  </si>
  <si>
    <t>「酔いどれセット」・「店舗クエスト」両方で参加</t>
  </si>
  <si>
    <t>ぐんたいガニ捕獲セット（カニぱん）</t>
  </si>
  <si>
    <t>ドリンクを注文したお客様に三立製菓さんの「かにパン」をプレゼント！</t>
  </si>
  <si>
    <t>Bar Coco-Color</t>
  </si>
  <si>
    <t>カジュアルバー</t>
  </si>
  <si>
    <t>店頭で捕獲したぐんたいガ二（かにパン）は、その場で食べても良し！持ち帰って、明日のパンにしても良し！</t>
  </si>
  <si>
    <t>https://www.instagram.com/bar_cococolor_taisho</t>
  </si>
  <si>
    <t>30セット予定（好評の場合追加有り）</t>
  </si>
  <si>
    <t>ぐんたいガニ乱獲クエスト</t>
  </si>
  <si>
    <t>追加ドリンクを注文して頂いたお客様に「勇者のサイコロ」でSTAFFに挑戦して貰います。見事STAFFに勝利したお客様には三立製菓さんの「かにビス」をプレゼント！</t>
  </si>
  <si>
    <t>500～900</t>
  </si>
  <si>
    <t>追加ドリンクの料金のみ</t>
  </si>
  <si>
    <t>大阪市大正区三軒家西１丁目１６−１６</t>
  </si>
  <si>
    <t>https://maps.app.goo.gl/95uXqnFcfkMM8Jwo8</t>
  </si>
  <si>
    <t>スコッチ以外のドリンクで、酔いどれセットご注文、又は2杯目以降のご注文から挑戦して頂けます</t>
  </si>
  <si>
    <t>福人(ふくんちゅ)</t>
  </si>
  <si>
    <t>作りたいもん作りまっせ居酒屋</t>
  </si>
  <si>
    <t>https://www.instagram.com/fuku__nchu</t>
  </si>
  <si>
    <t>大阪市大正区三軒家東１丁目１６−２６</t>
  </si>
  <si>
    <t>https://maps.app.goo.gl/PB2QxJm3seTe8PFH6</t>
  </si>
  <si>
    <t>TM’s DINER</t>
  </si>
  <si>
    <t>イタリアン・メキシカン・アメリカン</t>
  </si>
  <si>
    <t>https://www.instagram.com/tms_diner_osaka</t>
  </si>
  <si>
    <t>大阪市大正区三軒家東１丁目２−５ 2F</t>
  </si>
  <si>
    <t>https://maps.app.goo.gl/qM8P7SU6UqcARZm29</t>
  </si>
  <si>
    <t>Pizzeria Legare</t>
  </si>
  <si>
    <t>本格ピッツァ・ドイツワイン</t>
  </si>
  <si>
    <t>https://www.instagram.com/pizzerialegare</t>
  </si>
  <si>
    <t>大阪市大正区平尾５丁目１２−１６</t>
  </si>
  <si>
    <t>https://maps.app.goo.gl/e85zQpDRWme5xsyr6</t>
  </si>
  <si>
    <t>いいえ、希望しません。</t>
  </si>
  <si>
    <t>1000円セット</t>
  </si>
  <si>
    <t>ドリンク1杯+おつまみ</t>
  </si>
  <si>
    <t>大正お好み屋 ままま</t>
  </si>
  <si>
    <t>隠れ家的なお好み焼き</t>
  </si>
  <si>
    <t>https://www.instagram.com/okonomiyaki_mamama15</t>
  </si>
  <si>
    <t>大阪市大正区三軒家東１丁目１７−３３ 2F</t>
  </si>
  <si>
    <t>スナック チェリー</t>
  </si>
  <si>
    <t>ゴルフ好き集まれ</t>
  </si>
  <si>
    <t>https://www.instagram.com/cherry.taisho</t>
  </si>
  <si>
    <t>大阪市大正区三軒家東１丁目１６ー１６ 2階</t>
  </si>
  <si>
    <t>SNACK 2軒め　の〜てんき</t>
  </si>
  <si>
    <t>楽しく呑めて歌える憩いの場</t>
  </si>
  <si>
    <t>https://www.instagram.com/__2knme0703</t>
  </si>
  <si>
    <t>大阪市大正区三軒家西１丁目４−１６ベルコモンズ大正</t>
  </si>
  <si>
    <t>Fine</t>
  </si>
  <si>
    <t>日曜日、祝日もやってまーす！</t>
  </si>
  <si>
    <t>https://www.instagram.com/fine.r11123</t>
  </si>
  <si>
    <t>大阪市大正区三軒家東1-2-6 サンコークリスタル701</t>
  </si>
  <si>
    <t>BAR EDIT</t>
  </si>
  <si>
    <t>お酒&amp;カルチャー発信場所</t>
  </si>
  <si>
    <t>https://www.instagram.com/bar_edit_osaka</t>
  </si>
  <si>
    <t>大阪市大正区泉尾１丁目３０−１５ 平本ビル</t>
  </si>
  <si>
    <r>
      <rPr>
        <rFont val="&quot;Meiryo UI&quot;, monospace"/>
        <color rgb="FF1155CC"/>
        <sz val="11.0"/>
        <u/>
      </rPr>
      <t>https://maps.app.goo.gl/o8GMyay7XvnYpEwk7</t>
    </r>
  </si>
  <si>
    <t>うおしんのご愛嬌</t>
  </si>
  <si>
    <t>中央市場の魚屋さんが運営する居酒屋</t>
  </si>
  <si>
    <t>https://www.instagram.com/uoshin_no_goaikyou</t>
  </si>
  <si>
    <t>その日の状況により早く閉める場合あり。</t>
  </si>
  <si>
    <r>
      <rPr>
        <rFont val="&quot;Meiryo UI&quot;, monospace"/>
        <color rgb="FF1155CC"/>
        <sz val="11.0"/>
        <u/>
      </rPr>
      <t>https://maps.app.goo.gl/fFoJbFKog8RT85k2A</t>
    </r>
  </si>
  <si>
    <t>9回の表</t>
  </si>
  <si>
    <t>生演奏で歌えるバー</t>
  </si>
  <si>
    <t>https://www.instagram.com/9kaino_omote</t>
  </si>
  <si>
    <t>大阪市大正区泉尾４丁目４−１</t>
  </si>
  <si>
    <t>花いちオリジナルセット</t>
  </si>
  <si>
    <r>
      <rPr>
        <rFont val="&quot;Meiryo UI&quot;, monospace"/>
        <color rgb="FF1155CC"/>
        <sz val="11.0"/>
        <u/>
      </rPr>
      <t>https://maps.app.goo.gl/omY9WnpdAGAU7iFX6</t>
    </r>
  </si>
  <si>
    <t>700円までのドリンク1杯+チャーム+カラオケ無料</t>
  </si>
  <si>
    <t>特になし</t>
  </si>
  <si>
    <t>石窯バール デコレ</t>
  </si>
  <si>
    <t>本格石窯料理・ベルギービール</t>
  </si>
  <si>
    <t>https://www.instagram.com/decore.taisho</t>
  </si>
  <si>
    <t>なし</t>
  </si>
  <si>
    <t>カラオケで95点以上にチャレンジ！！</t>
  </si>
  <si>
    <t>カラオケで95点以上出した方に、〆のカップ麺1個プレゼント！！</t>
  </si>
  <si>
    <t>大阪市大正区三軒家西１丁目５−１０</t>
  </si>
  <si>
    <r>
      <rPr>
        <rFont val="&quot;Meiryo UI&quot;, monospace"/>
        <color rgb="FF1155CC"/>
        <sz val="11.0"/>
        <u/>
      </rPr>
      <t>https://maps.app.goo.gl/wwd3JawbhkNotrCY8</t>
    </r>
  </si>
  <si>
    <t>鉄板焼き ぷれこ</t>
  </si>
  <si>
    <t>変態植物倶楽部の店</t>
  </si>
  <si>
    <t>https://www.instagram.com/pureko.yakisoba___</t>
  </si>
  <si>
    <t>大阪市大正区泉尾１丁目２２−１２</t>
  </si>
  <si>
    <r>
      <rPr>
        <rFont val="&quot;Meiryo UI&quot;, monospace"/>
        <color rgb="FF1155CC"/>
        <sz val="11.0"/>
        <u/>
      </rPr>
      <t>https://maps.app.goo.gl/7LxwLtzxhZXxzxw59</t>
    </r>
  </si>
  <si>
    <t>かのじょとカレー</t>
  </si>
  <si>
    <t>デートの行き先、カレー屋</t>
  </si>
  <si>
    <t>https://www.instagram.com/sheandcurry</t>
  </si>
  <si>
    <t>呑め屋 集合！</t>
  </si>
  <si>
    <t>素朴な家庭料理</t>
  </si>
  <si>
    <t>https://www.instagram.com/syuugo_ma_0418</t>
  </si>
  <si>
    <t>居酒屋</t>
  </si>
  <si>
    <t>22時以降も席とお店が開いていればOK</t>
  </si>
  <si>
    <t>現金, paypay, クレジットカード</t>
  </si>
  <si>
    <t>誠seiセット</t>
  </si>
  <si>
    <t>大阪市大正区泉尾5丁目２－２</t>
  </si>
  <si>
    <t>ワンドリンク＋串カツ５本or牡蠣セット</t>
  </si>
  <si>
    <t>お好み焼き 竹ちゃん</t>
  </si>
  <si>
    <t>お好み焼き・焼きそば・一品</t>
  </si>
  <si>
    <t>https://www.instagram.com/takechan8989</t>
  </si>
  <si>
    <t>大阪市大正区泉尾４丁目４−１ 中山ビル 1階</t>
  </si>
  <si>
    <t>大正焼肉 ホルモン焼みやけ</t>
  </si>
  <si>
    <t>国産牛新鮮ホルモン焼</t>
  </si>
  <si>
    <t>https://www.instagram.com/horumonyaki_miyake</t>
  </si>
  <si>
    <t>大阪市大正区三軒家東１丁目１０−２２ 1階</t>
  </si>
  <si>
    <r>
      <rPr>
        <rFont val="&quot;Meiryo UI&quot;, monospace"/>
        <color rgb="FF1155CC"/>
        <sz val="11.0"/>
        <u/>
      </rPr>
      <t>https://maps.app.goo.gl/vtyUhfcTtNvREszDA</t>
    </r>
  </si>
  <si>
    <t>中華メインの居酒屋</t>
  </si>
  <si>
    <t>1F立ち飲み2Fテーブル</t>
  </si>
  <si>
    <t>酒と魚 喰海~KUKAI~</t>
  </si>
  <si>
    <t>安くて美味い変な魚屋さん</t>
  </si>
  <si>
    <t>https://www.instagram.com/kukai_izakaya_</t>
  </si>
  <si>
    <t>元気玉セット</t>
  </si>
  <si>
    <t>元気玉+黒糖焼酎（じょうご）一杯</t>
  </si>
  <si>
    <t>未定</t>
  </si>
  <si>
    <t>大阪市大正区千島３丁目３−１２ シティハイツ大正</t>
  </si>
  <si>
    <r>
      <rPr>
        <rFont val="&quot;Meiryo UI&quot;, monospace"/>
        <color rgb="FF1155CC"/>
        <sz val="11.0"/>
        <u/>
      </rPr>
      <t>https://maps.app.goo.gl/2SUDVhYEkfnGQu8q9</t>
    </r>
  </si>
  <si>
    <t>Zakky's ホットドッグ</t>
  </si>
  <si>
    <t>大正アメリンカンダイナー</t>
  </si>
  <si>
    <t>https://www.instagram.com/zakkys_hotdog</t>
  </si>
  <si>
    <t>大阪市大正区千島３丁目１２−１３ ハイグレード千島</t>
  </si>
  <si>
    <r>
      <rPr>
        <rFont val="&quot;Meiryo UI&quot;, monospace"/>
        <color rgb="FF1155CC"/>
        <sz val="11.0"/>
        <u/>
      </rPr>
      <t>https://maps.app.goo.gl/UVjYbt57Dy43WcJN9</t>
    </r>
  </si>
  <si>
    <t>立ち飲み居酒屋まるとく大正店</t>
  </si>
  <si>
    <t>大正イチ元気な店</t>
  </si>
  <si>
    <t>https://www.instagram.com/mrtk.taishou</t>
  </si>
  <si>
    <t>大阪市大正区三軒家西1-4-15大正コペンシル1階</t>
  </si>
  <si>
    <r>
      <rPr>
        <rFont val="&quot;Meiryo UI&quot;, monospace"/>
        <color rgb="FF1155CC"/>
        <sz val="11.0"/>
        <u/>
      </rPr>
      <t>https://maps.app.goo.gl/Kx7Ug92HU4BVttcu8</t>
    </r>
  </si>
  <si>
    <t>焼肉・ホルモン</t>
  </si>
  <si>
    <t>和んでや</t>
  </si>
  <si>
    <t>ただいま！と言えるおばんざい処</t>
  </si>
  <si>
    <t>https://www.instagram.com/nagondeyaaa</t>
  </si>
  <si>
    <t>大阪市大正区三軒家東１丁目２１−１５</t>
  </si>
  <si>
    <r>
      <rPr>
        <rFont val="&quot;Meiryo UI&quot;, monospace"/>
        <color rgb="FF1155CC"/>
        <sz val="11.0"/>
        <u/>
      </rPr>
      <t>https://maps.app.goo.gl/mPWGsU2dZAaAkywP9</t>
    </r>
  </si>
  <si>
    <t>現金, paypay, クレジットカード, 電子マネー</t>
  </si>
  <si>
    <t>選べる名物厚切り肉！</t>
  </si>
  <si>
    <t>好きなドリンク1杯と名物の厚切り上塩タンか厚切り特上ハラミどちらかを選んでもらえるセット</t>
  </si>
  <si>
    <t>酔いどれセットのテイクアウト不可</t>
  </si>
  <si>
    <t>3PIECE</t>
  </si>
  <si>
    <t>アットホームなカラオケBAR</t>
  </si>
  <si>
    <t>https://www.instagram.com/3piece_osake</t>
  </si>
  <si>
    <t>期間中いつでも可</t>
  </si>
  <si>
    <t>ピンゾロチャレンジ</t>
  </si>
  <si>
    <t>サイコロで1のゾロ目が出たら酔いどれセットが半額になる</t>
  </si>
  <si>
    <t>大阪市大正区南恩加島６丁目７−８</t>
  </si>
  <si>
    <r>
      <rPr>
        <rFont val="&quot;Meiryo UI&quot;, monospace"/>
        <color rgb="FF1155CC"/>
        <sz val="11.0"/>
        <u/>
      </rPr>
      <t>https://maps.app.goo.gl/67gvLqPdoESWNqod7</t>
    </r>
  </si>
  <si>
    <t>たこ焼き･お好み焼き そーすや</t>
  </si>
  <si>
    <t>一品もあって呑める店</t>
  </si>
  <si>
    <t>https://www.instagram.com/so__suya</t>
  </si>
  <si>
    <t>大阪市大正区鶴町３丁目９−８</t>
  </si>
  <si>
    <r>
      <rPr>
        <rFont val="&quot;Meiryo UI&quot;, monospace"/>
        <color rgb="FF1155CC"/>
        <sz val="11.0"/>
        <u/>
      </rPr>
      <t>https://maps.app.goo.gl/xJwhZ9ZwW7z19PcK6</t>
    </r>
  </si>
  <si>
    <t>eggspotらんらん</t>
  </si>
  <si>
    <t>大阪で一人、卵ソムリエの卵料理専門店</t>
  </si>
  <si>
    <t>https://www.instagram.com/eggspot_ranran2024</t>
  </si>
  <si>
    <t>大阪市大正区三軒家西１丁目１−１４ タグボート大正入口コンテナ</t>
  </si>
  <si>
    <r>
      <rPr>
        <rFont val="&quot;Meiryo UI&quot;, monospace"/>
        <color rgb="FF1155CC"/>
        <sz val="11.0"/>
        <u/>
      </rPr>
      <t>https://maps.app.goo.gl/vxRvzvGTY6DuPHAB6</t>
    </r>
  </si>
  <si>
    <t>テラスBAR 7c</t>
  </si>
  <si>
    <t>BBQできます！呑みだけでもどーぞ！</t>
  </si>
  <si>
    <t>https://www.instagram.com/terracebar_7c</t>
  </si>
  <si>
    <r>
      <rPr>
        <rFont val="&quot;Meiryo UI&quot;, monospace"/>
        <color rgb="FF1155CC"/>
        <sz val="11.0"/>
        <u/>
      </rPr>
      <t>https://maps.app.goo.gl/qYSdXGZQY4Qoug8W9</t>
    </r>
  </si>
  <si>
    <t>3:30飲み放題ラストオーダー、4:30で終了、退店</t>
  </si>
  <si>
    <t>現金, クレジットカード, Paypay、D払い以外のバーコード決済</t>
  </si>
  <si>
    <t>いっぱい呑み 花</t>
  </si>
  <si>
    <t>おひとり様でもふらっと気軽に</t>
  </si>
  <si>
    <t>https://www.instagram.com/ippainomi.hana0806</t>
  </si>
  <si>
    <t>1H飲み放題1000円</t>
  </si>
  <si>
    <t>1H飲み放題1000円(チャージ料込み)</t>
  </si>
  <si>
    <t>ラストオーダー15分前、入店3:30まで</t>
  </si>
  <si>
    <t>大阪市大正区千島3丁目4-7</t>
  </si>
  <si>
    <r>
      <rPr>
        <rFont val="&quot;Meiryo UI&quot;, monospace"/>
        <color rgb="FF1155CC"/>
        <sz val="11.0"/>
        <u/>
      </rPr>
      <t>https://maps.app.goo.gl/qxCPY32XRzxQ52ni7</t>
    </r>
  </si>
  <si>
    <t>Tanom café</t>
  </si>
  <si>
    <t>https://www.instagram.com/tanom_cafe</t>
  </si>
  <si>
    <t>大阪市大正区泉尾１丁目１３−１５</t>
  </si>
  <si>
    <r>
      <rPr>
        <rFont val="&quot;Meiryo UI&quot;, monospace"/>
        <color rgb="FF1155CC"/>
        <sz val="11.0"/>
        <u/>
      </rPr>
      <t>https://maps.app.goo.gl/gJDGXPPGcQ7HCBTE9</t>
    </r>
  </si>
  <si>
    <t>焼く鳥屋 おかもと 大正店</t>
  </si>
  <si>
    <t>https://www.instagram.com/yakutori_taisho</t>
  </si>
  <si>
    <t>立ち飲み処 雄</t>
  </si>
  <si>
    <t>https://www.instagram.com/you_taisho</t>
  </si>
  <si>
    <t>泉尾</t>
  </si>
  <si>
    <t>クラスノ</t>
  </si>
  <si>
    <t>1949年創業の老舗酒場</t>
  </si>
  <si>
    <t>https://www.instagram.com/kurasuno0.2</t>
  </si>
  <si>
    <t>ドラクエ限定　一杯目100円</t>
  </si>
  <si>
    <t>https://maps.app.goo.gl/LGRvgFisDgQDWBtZ9</t>
  </si>
  <si>
    <t>入店1杯目100円</t>
  </si>
  <si>
    <t>無し</t>
  </si>
  <si>
    <t>立体四目並べ　勝てば、1杯無料</t>
  </si>
  <si>
    <t>勝てば1杯無料</t>
  </si>
  <si>
    <t>スパイスカレー</t>
  </si>
  <si>
    <t>昼飲み</t>
  </si>
  <si>
    <t>土曜日</t>
  </si>
  <si>
    <t>1月30日(土)のみ営業　15時ラストオーダー</t>
  </si>
  <si>
    <t>酔いどれカレー</t>
  </si>
  <si>
    <t xml:space="preserve">チキンスパイスカレー小 </t>
  </si>
  <si>
    <t>カレーがなくなり次第終了</t>
  </si>
  <si>
    <t>激辛スパイスカレー 4辛</t>
  </si>
  <si>
    <t>4辛のスパイスカレー食べ切ったら、次回スパイスカレー400円引き</t>
  </si>
  <si>
    <t>激辛です。お子様のチャレンジは出来ません。</t>
  </si>
  <si>
    <t>B.B.QホルモンＭＯＵ</t>
  </si>
  <si>
    <t>立ち飲み</t>
  </si>
  <si>
    <t>日曜日, 月曜日, 水曜日, 木曜日, 金曜日, 土曜日</t>
  </si>
  <si>
    <t>酔いどれセット</t>
  </si>
  <si>
    <t>ホルモンとドリンク</t>
  </si>
  <si>
    <t>日曜日, 月曜日, 金曜日, 土曜日</t>
  </si>
  <si>
    <t>集合セット</t>
  </si>
  <si>
    <t>ドリンク1杯＋日替わりメニュー1品</t>
  </si>
  <si>
    <t>あみだくじ</t>
  </si>
  <si>
    <t>罰ゲームもありのあみだくじ</t>
  </si>
  <si>
    <t>千島</t>
  </si>
  <si>
    <t>せんべろ</t>
  </si>
  <si>
    <t>生ビールか500円以下のワンドリンクとおでんのスジ以外3品かおばんざい1品</t>
  </si>
  <si>
    <t>じゃんけんクエスト</t>
  </si>
  <si>
    <t>ワンドリンクを賭けて勝負！ジャンケンして勝てば無料、あいこなら半額、負けたらスタッフにドリンク1杯！</t>
  </si>
  <si>
    <t>スナック</t>
  </si>
  <si>
    <t>「店舗クエスト」のみで参加</t>
  </si>
  <si>
    <t>サクッと呑み</t>
  </si>
  <si>
    <t>セット半額</t>
  </si>
  <si>
    <t>男性2000円　女性1500円</t>
  </si>
  <si>
    <t>ワンドリンク込み</t>
  </si>
  <si>
    <t>参加しない</t>
  </si>
  <si>
    <t>串焼き・鉄板焼き</t>
  </si>
  <si>
    <t>日曜日, 金曜日, 土曜日</t>
  </si>
  <si>
    <t>鉄板焼2種盛合せ</t>
  </si>
  <si>
    <t>鉄板焼おつまみ2種</t>
  </si>
  <si>
    <t>仕入状況により内容変わりますので詳しくは記載せずにいます</t>
  </si>
  <si>
    <t>多国籍料理</t>
  </si>
  <si>
    <t>日曜日, 月曜日, 火曜日, 金曜日, 土曜日</t>
  </si>
  <si>
    <t>ディナーは30分前ラストオーダーなのでそれまでにご来店をお願いします。</t>
  </si>
  <si>
    <t>現金, paypay, クレジットカード, d払い、auペイ、楽天ペイ、メルペイ、などなど</t>
  </si>
  <si>
    <t>TM's酔いどれセット</t>
  </si>
  <si>
    <t>イベント限定メニュー+1ドリンク</t>
  </si>
  <si>
    <t>南恩加島</t>
  </si>
  <si>
    <t>金曜、土曜力尽きるまで</t>
  </si>
  <si>
    <t>カラオケで高得点！</t>
  </si>
  <si>
    <t>93点以上だした方は指定ドリンク一杯無料</t>
  </si>
  <si>
    <t>？</t>
  </si>
  <si>
    <t>鶏料理</t>
  </si>
  <si>
    <t>月曜日, 火曜日, 水曜日, 木曜日</t>
  </si>
  <si>
    <t>現金, クレジットカード</t>
  </si>
  <si>
    <t>ドリンク1杯、肉豆腐、国産鶏の出汁煮2本</t>
  </si>
  <si>
    <t>ドリンクは瓶ビール、日本酒を除く</t>
  </si>
  <si>
    <t>鉄板焼・焼きそば</t>
  </si>
  <si>
    <t>とん平＆ドリンク</t>
  </si>
  <si>
    <t>とん平とドリンク(生・酎ハイ・ハイボール)</t>
  </si>
  <si>
    <t xml:space="preserve">　
</t>
  </si>
  <si>
    <t>限定なし</t>
  </si>
  <si>
    <t xml:space="preserve"> </t>
  </si>
  <si>
    <t>日曜日, 月曜日, 火曜日, 水曜日, 金曜日, 土曜日</t>
  </si>
  <si>
    <t>01:30ラストオーダー</t>
  </si>
  <si>
    <t>EDIT酔いどれセット</t>
  </si>
  <si>
    <t>お酒orソフトドリンク＋チャーム</t>
  </si>
  <si>
    <t>こちらでよいどれクエスト用のメニューを作って選んでもらいます。</t>
  </si>
  <si>
    <t>平尾</t>
  </si>
  <si>
    <t>イタリアン</t>
  </si>
  <si>
    <t>legare酔いどれセット</t>
  </si>
  <si>
    <t>その日の前菜盛り合わせ➕ドリンク</t>
  </si>
  <si>
    <t>生ビール、酎ハイ、ハイボール、ドイツワイン(グラス)からお選びください</t>
  </si>
  <si>
    <t>限定10セット／日</t>
  </si>
  <si>
    <t>福人セット</t>
  </si>
  <si>
    <t>豚バラ軟骨塩煮込み+ゴーヤおひたし＋ドリンク1杯</t>
  </si>
  <si>
    <t>冒険者の休息</t>
  </si>
  <si>
    <t>ドリンク+おつまみ</t>
  </si>
  <si>
    <t>1000円までのドリンク+おつまみ、またはおつまみがいらない場合は1400円までのドリンク</t>
  </si>
  <si>
    <t>洞窟探検</t>
  </si>
  <si>
    <t>くじを引いてモンスターの絵なら次回以降チャージ無料券、お金の絵なら今日のチャージ無料</t>
  </si>
  <si>
    <t>1ドリンクと付き出しとお菓子</t>
  </si>
  <si>
    <t>制限無</t>
  </si>
  <si>
    <t>鶴町</t>
  </si>
  <si>
    <t>たこ焼き・お好み焼き</t>
  </si>
  <si>
    <t>日曜日, 土曜日</t>
  </si>
  <si>
    <t>土曜の営業は17時～
日曜の営業は11時～</t>
  </si>
  <si>
    <t>アルコール類1杯+おでん3種盛り</t>
  </si>
  <si>
    <t>おでん（大根、厚揚げ、こんにゃく、たまご、ちくわ、ごぼ天、はんぺん、じゃがいもの中から3品)</t>
  </si>
  <si>
    <t>無くなりしだい終了</t>
  </si>
  <si>
    <t>混み具合により遅れる可能性有り</t>
  </si>
  <si>
    <t>変なお魚あるかも？</t>
  </si>
  <si>
    <t>三種盛り＋ドリンク1杯</t>
  </si>
  <si>
    <t>瓶ビール、日本酒、一部ドリンクは対象外</t>
  </si>
  <si>
    <t>仕入れにより変動有り</t>
  </si>
  <si>
    <t>月曜日, 火曜日, 水曜日, 木曜日, 金曜日</t>
  </si>
  <si>
    <t>クラスノ酔どれ</t>
  </si>
  <si>
    <t>くわ焼き1品【2本】ドリンク一杯【瓶、日本酒以外】鮪の煮付け【小】えんどうの煮付け【小】</t>
  </si>
  <si>
    <t>お酒とくわ焼きの組み合わせにより、千円に満たない場合は、お釣りを返金致します</t>
  </si>
  <si>
    <t>限定20セット</t>
  </si>
  <si>
    <t>木曜日, 金曜日, 土曜日</t>
  </si>
  <si>
    <t>ドーナツ提供時間、1つにつき4分かかります</t>
  </si>
  <si>
    <t>ドーナツセット</t>
  </si>
  <si>
    <t>プレーンドーナツと400円までのコーヒー、ソフトドリンク1杯</t>
  </si>
  <si>
    <t>400円以上のドリンク、またはアルコール類は差額頂ければ提供可能</t>
  </si>
  <si>
    <t>日曜日, 月曜日, 火曜日, 木曜日, 金曜日, 土曜日</t>
  </si>
  <si>
    <t>現金, paypay, クレジットカード, d払い,auペイ</t>
  </si>
  <si>
    <t>限定カクテル (飲み放題 1h )</t>
  </si>
  <si>
    <t>酔いどれ参加者のみが注文できるカクテル</t>
  </si>
  <si>
    <t>男性2200円女性1650円</t>
  </si>
  <si>
    <t>ダーツクエスト</t>
  </si>
  <si>
    <t>ダーツ3本投げて60点以上でテキーラサービス(１杯)</t>
  </si>
  <si>
    <t>お得！たろちゃんセット</t>
  </si>
  <si>
    <t>1ドリンク➕あて2品盛り</t>
  </si>
  <si>
    <t>ドリンク390円以内！</t>
  </si>
  <si>
    <t>ホロ酔いセット</t>
  </si>
  <si>
    <t>ホルモン盛り合わせ150g+ドリンク1杯</t>
  </si>
  <si>
    <t>ホットドッグ</t>
  </si>
  <si>
    <t>日曜日, 月曜日, 火曜日, 水曜日, 木曜日, 土曜日</t>
  </si>
  <si>
    <t>ミニザッキーズセット</t>
  </si>
  <si>
    <t>生ビールとミニビーフドッグorミニホットドッグ</t>
  </si>
  <si>
    <t>限定30セット／日</t>
  </si>
  <si>
    <t>金曜日, 土曜日</t>
  </si>
  <si>
    <t>ママのHP次第で24時以降も営業してるパターン有り</t>
  </si>
  <si>
    <t>和んでどうぞ🤲</t>
  </si>
  <si>
    <t>日替わりおばんざい3種＋1ドリンク＋店主のスマイル</t>
  </si>
  <si>
    <t>お酒と一品がなくなるまで</t>
  </si>
  <si>
    <t>17時から20時ママ1人</t>
  </si>
  <si>
    <t>1000円引き</t>
  </si>
  <si>
    <t>お支払い金額から1000引き</t>
  </si>
  <si>
    <t>セット代4000円＋ドリンク代</t>
  </si>
  <si>
    <t>セット代＋ドリンク代</t>
  </si>
  <si>
    <t>キンパで一杯</t>
  </si>
  <si>
    <t>キンパとナムルキムチとドリンク1杯</t>
  </si>
  <si>
    <t>ドリンクは600円以内</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</si>
</sst>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14">
    <font>
      <sz val="10.0"/>
      <color rgb="FF000000"/>
      <name val="Arial"/>
      <scheme val="minor"/>
    </font>
    <font>
      <sz val="11.0"/>
      <color rgb="FF000000"/>
      <name val="Arial"/>
    </font>
    <font>
      <sz val="11.0"/>
      <color rgb="FF000000"/>
      <name val="&quot;Meiryo UI&quot;"/>
    </font>
    <font>
      <u/>
      <sz val="11.0"/>
      <color rgb="FF000000"/>
      <name val="&quot;Meiryo UI&quot;"/>
    </font>
    <font>
      <u/>
      <sz val="11.0"/>
      <color rgb="FF000000"/>
      <name val="&quot;Meiryo UI&quot;"/>
    </font>
    <font>
      <color theme="1"/>
      <name val="Arial"/>
      <scheme val="minor"/>
    </font>
    <font>
      <u/>
      <sz val="11.0"/>
      <color rgb="FF0000FF"/>
      <name val="&quot;Meiryo UI&quot;"/>
    </font>
    <font>
      <u/>
      <color rgb="FF0000FF"/>
      <name val="Roboto"/>
    </font>
    <font>
      <sz val="11.0"/>
      <color theme="1"/>
      <name val="&quot;Meiryo UI&quot;"/>
    </font>
    <font>
      <color rgb="FF000000"/>
      <name val="&quot;ＭＳ ゴシック&quot;"/>
    </font>
    <font>
      <u/>
      <sz val="11.0"/>
      <color rgb="FF467886"/>
      <name val="&quot;Meiryo UI&quot;"/>
    </font>
    <font>
      <u/>
      <color rgb="FF0000FF"/>
    </font>
    <font>
      <sz val="10.0"/>
      <color rgb="FF000000"/>
      <name val="&quot;Meiryo UI&quot;"/>
    </font>
    <font>
      <u/>
      <color rgb="FF0000FF"/>
      <name val="Roboto"/>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right" readingOrder="0" shrinkToFit="0" wrapText="0"/>
    </xf>
    <xf borderId="0" fillId="0" fontId="1" numFmtId="0" xfId="0" applyAlignment="1" applyFont="1">
      <alignment readingOrder="0" shrinkToFit="0" wrapText="0"/>
    </xf>
    <xf borderId="1" fillId="0" fontId="2" numFmtId="0" xfId="0" applyAlignment="1" applyBorder="1" applyFont="1">
      <alignment horizontal="right" readingOrder="0" shrinkToFit="0" wrapText="0"/>
    </xf>
    <xf borderId="1" fillId="0" fontId="2" numFmtId="0" xfId="0" applyAlignment="1" applyBorder="1" applyFont="1">
      <alignment readingOrder="0" shrinkToFit="0" wrapText="0"/>
    </xf>
    <xf borderId="1" fillId="0" fontId="3" numFmtId="0" xfId="0" applyAlignment="1" applyBorder="1" applyFont="1">
      <alignment readingOrder="0" shrinkToFit="0" wrapText="0"/>
    </xf>
    <xf borderId="0" fillId="0" fontId="2" numFmtId="0" xfId="0" applyAlignment="1" applyFont="1">
      <alignment readingOrder="0" shrinkToFit="0" wrapText="0"/>
    </xf>
    <xf borderId="0" fillId="0" fontId="4" numFmtId="0" xfId="0" applyAlignment="1" applyFont="1">
      <alignment readingOrder="0" shrinkToFit="0" wrapText="0"/>
    </xf>
    <xf borderId="0" fillId="0" fontId="5" numFmtId="0" xfId="0" applyAlignment="1" applyFont="1">
      <alignment horizontal="left" readingOrder="0" shrinkToFit="0" vertical="center" wrapText="0"/>
    </xf>
    <xf borderId="1" fillId="0" fontId="1" numFmtId="0" xfId="0" applyAlignment="1" applyBorder="1" applyFont="1">
      <alignment readingOrder="0" shrinkToFit="0" wrapText="0"/>
    </xf>
    <xf borderId="0" fillId="0" fontId="5" numFmtId="0" xfId="0" applyAlignment="1" applyFont="1">
      <alignment horizontal="lef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0" fontId="5" numFmtId="165"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wrapText="0"/>
    </xf>
    <xf borderId="0" fillId="0" fontId="5" numFmtId="19" xfId="0" applyAlignment="1" applyFont="1" applyNumberFormat="1">
      <alignment readingOrder="0" shrinkToFit="0" vertical="center" wrapText="0"/>
    </xf>
    <xf borderId="0" fillId="0" fontId="5" numFmtId="0" xfId="0" applyAlignment="1" applyFont="1">
      <alignment shrinkToFit="0" vertical="center" wrapText="0"/>
    </xf>
    <xf borderId="0" fillId="0" fontId="7" numFmtId="0" xfId="0" applyAlignment="1" applyFont="1">
      <alignment shrinkToFit="0" vertical="center" wrapText="0"/>
    </xf>
    <xf borderId="0" fillId="0" fontId="5" numFmtId="164" xfId="0" applyAlignment="1" applyFont="1" applyNumberFormat="1">
      <alignment shrinkToFit="0" vertical="center" wrapText="0"/>
    </xf>
    <xf borderId="1" fillId="0" fontId="1" numFmtId="0" xfId="0" applyAlignment="1" applyBorder="1" applyFont="1">
      <alignment horizontal="right" readingOrder="0" shrinkToFit="0" wrapText="0"/>
    </xf>
    <xf borderId="1" fillId="0" fontId="8" numFmtId="0" xfId="0" applyAlignment="1" applyBorder="1" applyFont="1">
      <alignment readingOrder="0" shrinkToFit="0" wrapText="0"/>
    </xf>
    <xf borderId="0" fillId="2" fontId="9" numFmtId="0" xfId="0" applyAlignment="1" applyFill="1" applyFont="1">
      <alignment readingOrder="0" shrinkToFit="0" vertical="center" wrapText="0"/>
    </xf>
    <xf borderId="0" fillId="0" fontId="2" numFmtId="0" xfId="0" applyAlignment="1" applyFont="1">
      <alignment shrinkToFit="0" wrapText="0"/>
    </xf>
    <xf borderId="0" fillId="3" fontId="9" numFmtId="0" xfId="0" applyAlignment="1" applyFill="1" applyFont="1">
      <alignment readingOrder="0" shrinkToFit="0" vertical="center" wrapText="0"/>
    </xf>
    <xf borderId="0" fillId="0" fontId="5" numFmtId="3" xfId="0" applyAlignment="1" applyFont="1" applyNumberFormat="1">
      <alignment readingOrder="0" shrinkToFit="0" vertical="center" wrapText="0"/>
    </xf>
    <xf borderId="1" fillId="0" fontId="2" numFmtId="0" xfId="0" applyAlignment="1" applyBorder="1" applyFont="1">
      <alignment readingOrder="0"/>
    </xf>
    <xf borderId="0" fillId="0" fontId="10" numFmtId="0" xfId="0" applyAlignment="1" applyFont="1">
      <alignment shrinkToFit="0" wrapText="0"/>
    </xf>
    <xf borderId="1" fillId="0" fontId="2" numFmtId="0" xfId="0" applyAlignment="1" applyBorder="1" applyFont="1">
      <alignment shrinkToFit="0" wrapText="0"/>
    </xf>
    <xf borderId="0" fillId="0" fontId="11" numFmtId="0" xfId="0" applyAlignment="1" applyFont="1">
      <alignment readingOrder="0"/>
    </xf>
    <xf borderId="0" fillId="0" fontId="5" numFmtId="164" xfId="0" applyAlignment="1" applyFont="1" applyNumberFormat="1">
      <alignment readingOrder="0" shrinkToFit="0" vertical="center" wrapText="0"/>
    </xf>
    <xf borderId="1" fillId="0" fontId="12" numFmtId="0" xfId="0" applyAlignment="1" applyBorder="1" applyFont="1">
      <alignment readingOrder="0" shrinkToFit="0" vertical="center" wrapText="0"/>
    </xf>
    <xf borderId="0" fillId="0" fontId="5" numFmtId="0" xfId="0" applyAlignment="1" applyFont="1">
      <alignment shrinkToFit="0" vertical="center" wrapText="0"/>
    </xf>
    <xf borderId="0" fillId="0" fontId="13" numFmtId="0" xfId="0" applyAlignment="1" applyFont="1">
      <alignment shrinkToFit="0" vertical="center" wrapText="0"/>
    </xf>
    <xf borderId="0" fillId="0" fontId="5" numFmtId="164" xfId="0" applyAlignment="1" applyFont="1" applyNumberFormat="1">
      <alignment shrinkToFit="0" vertical="center" wrapText="0"/>
    </xf>
    <xf borderId="0" fillId="0" fontId="5" numFmtId="164" xfId="0" applyFont="1" applyNumberForma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フォームの回答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R42" displayName="Form_Responses" name="Form_Responses" id="1">
  <autoFilter ref="$A$1:$AR$42"/>
  <tableColumns count="44">
    <tableColumn name="タイムスタンプ" id="1"/>
    <tableColumn name="店名" id="2"/>
    <tableColumn name="大正酔いどれクエストⅡに参加されますか？" id="3"/>
    <tableColumn name="  エリア  " id="4"/>
    <tableColumn name="カテゴリ" id="5"/>
    <tableColumn name="スタイル" id="6"/>
    <tableColumn name="タイプ" id="7"/>
    <tableColumn name="テイクアウト" id="8"/>
    <tableColumn name="どれクエ対応曜日" id="9"/>
    <tableColumn name="どれクエ対応時間：開始" id="10"/>
    <tableColumn name="どれクエ対応時間：終了" id="11"/>
    <tableColumn name="提供時間に対する補足" id="12"/>
    <tableColumn name="決済方法" id="13"/>
    <tableColumn name="店舗クーポンを希望されますか？" id="14"/>
    <tableColumn name="  「どれクエⅡ」にはどの企画で参加されますか？  " id="15"/>
    <tableColumn name="  酔いどれセット名  " id="16"/>
    <tableColumn name="  酔いどれセット内容  " id="17"/>
    <tableColumn name="セット内容備考" id="18"/>
    <tableColumn name="  価格(税込)  " id="19"/>
    <tableColumn name="チャージ料(税込)" id="20"/>
    <tableColumn name="限定数量" id="21"/>
    <tableColumn name="クエスト名" id="22"/>
    <tableColumn name="クエスト内容/報酬" id="23"/>
    <tableColumn name="クエスト料金(税込)" id="24"/>
    <tableColumn name="クエストチャージ料 (税込)" id="25"/>
    <tableColumn name="クエスト備考" id="26"/>
    <tableColumn name="酔いどれセット名" id="27"/>
    <tableColumn name="  酔いどれセット内容   2" id="28"/>
    <tableColumn name="セット内容備考 2" id="29"/>
    <tableColumn name="価格(税込)" id="30"/>
    <tableColumn name="チャージ料(税込) 2" id="31"/>
    <tableColumn name="限定数量 2" id="32"/>
    <tableColumn name="クエスト名 2" id="33"/>
    <tableColumn name="クエスト内容/報酬 2" id="34"/>
    <tableColumn name="クエスト料金(税込) 2" id="35"/>
    <tableColumn name="クエストチャージ料 (税込) 2" id="36"/>
    <tableColumn name="クエスト備考 2" id="37"/>
    <tableColumn name="お客様向け参加証(缶バッチ)　販売希望数は？" id="38"/>
    <tableColumn name="ID" id="39"/>
    <tableColumn name="キャッチコピー" id="40"/>
    <tableColumn name="Instagram" id="41"/>
    <tableColumn name="住所" id="42"/>
    <tableColumn name="googlemap" id="43"/>
    <tableColumn name="特定日" id="44"/>
  </tableColumns>
  <tableStyleInfo name="フォームの回答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aps.app.goo.gl/uUPFxJA4w57PqYzf7" TargetMode="External"/><Relationship Id="rId42" Type="http://schemas.openxmlformats.org/officeDocument/2006/relationships/hyperlink" Target="https://maps.app.goo.gl/P1ytbeyLANs4TgD19" TargetMode="External"/><Relationship Id="rId41" Type="http://schemas.openxmlformats.org/officeDocument/2006/relationships/hyperlink" Target="https://www.instagram.com/tarochan_taisho" TargetMode="External"/><Relationship Id="rId44" Type="http://schemas.openxmlformats.org/officeDocument/2006/relationships/hyperlink" Target="https://maps.app.goo.gl/SgdnoFYhwHF52vjd8" TargetMode="External"/><Relationship Id="rId43" Type="http://schemas.openxmlformats.org/officeDocument/2006/relationships/hyperlink" Target="https://www.instagram.com/teppanyaki_eihachi" TargetMode="External"/><Relationship Id="rId46" Type="http://schemas.openxmlformats.org/officeDocument/2006/relationships/hyperlink" Target="https://maps.app.goo.gl/rc5NfzqfDAM7pevWA" TargetMode="External"/><Relationship Id="rId45" Type="http://schemas.openxmlformats.org/officeDocument/2006/relationships/hyperlink" Target="https://www.instagram.com/ura_omote.shokudou" TargetMode="External"/><Relationship Id="rId107" Type="http://schemas.openxmlformats.org/officeDocument/2006/relationships/hyperlink" Target="https://maps.app.goo.gl/gJDGXPPGcQ7HCBTE9" TargetMode="External"/><Relationship Id="rId106" Type="http://schemas.openxmlformats.org/officeDocument/2006/relationships/hyperlink" Target="https://www.instagram.com/tanom_cafe" TargetMode="External"/><Relationship Id="rId105" Type="http://schemas.openxmlformats.org/officeDocument/2006/relationships/hyperlink" Target="https://maps.app.goo.gl/qxCPY32XRzxQ52ni7" TargetMode="External"/><Relationship Id="rId104" Type="http://schemas.openxmlformats.org/officeDocument/2006/relationships/hyperlink" Target="https://www.instagram.com/ippainomi.hana0806" TargetMode="External"/><Relationship Id="rId109" Type="http://schemas.openxmlformats.org/officeDocument/2006/relationships/hyperlink" Target="https://www.instagram.com/you_taisho" TargetMode="External"/><Relationship Id="rId108" Type="http://schemas.openxmlformats.org/officeDocument/2006/relationships/hyperlink" Target="https://www.instagram.com/yakutori_taisho" TargetMode="External"/><Relationship Id="rId48" Type="http://schemas.openxmlformats.org/officeDocument/2006/relationships/hyperlink" Target="https://maps.app.goo.gl/9Wt44gRpXPDoTt1q9" TargetMode="External"/><Relationship Id="rId47" Type="http://schemas.openxmlformats.org/officeDocument/2006/relationships/hyperlink" Target="https://www.instagram.com/yakiniku.k2plus" TargetMode="External"/><Relationship Id="rId49" Type="http://schemas.openxmlformats.org/officeDocument/2006/relationships/hyperlink" Target="https://www.instagram.com/moon.3.3.3" TargetMode="External"/><Relationship Id="rId103" Type="http://schemas.openxmlformats.org/officeDocument/2006/relationships/hyperlink" Target="https://maps.app.goo.gl/qYSdXGZQY4Qoug8W9" TargetMode="External"/><Relationship Id="rId102" Type="http://schemas.openxmlformats.org/officeDocument/2006/relationships/hyperlink" Target="https://www.instagram.com/terracebar_7c" TargetMode="External"/><Relationship Id="rId101" Type="http://schemas.openxmlformats.org/officeDocument/2006/relationships/hyperlink" Target="https://maps.app.goo.gl/vxRvzvGTY6DuPHAB6" TargetMode="External"/><Relationship Id="rId100" Type="http://schemas.openxmlformats.org/officeDocument/2006/relationships/hyperlink" Target="https://www.instagram.com/eggspot_ranran2024" TargetMode="External"/><Relationship Id="rId31" Type="http://schemas.openxmlformats.org/officeDocument/2006/relationships/hyperlink" Target="https://www.instagram.com/kijimuna_no_mori.03.03" TargetMode="External"/><Relationship Id="rId30" Type="http://schemas.openxmlformats.org/officeDocument/2006/relationships/hyperlink" Target="https://maps.app.goo.gl/xrZVAtv7kBYFbYxU8" TargetMode="External"/><Relationship Id="rId33" Type="http://schemas.openxmlformats.org/officeDocument/2006/relationships/hyperlink" Target="https://www.instagram.com/nanchatteino_erie" TargetMode="External"/><Relationship Id="rId32" Type="http://schemas.openxmlformats.org/officeDocument/2006/relationships/hyperlink" Target="https://maps.app.goo.gl/BYfv2YxJfrB6RUYV8" TargetMode="External"/><Relationship Id="rId35" Type="http://schemas.openxmlformats.org/officeDocument/2006/relationships/hyperlink" Target="https://www.instagram.com/Neboke_bar" TargetMode="External"/><Relationship Id="rId34" Type="http://schemas.openxmlformats.org/officeDocument/2006/relationships/hyperlink" Target="https://maps.app.goo.gl/kGdEWrLq5bwaRyeX7" TargetMode="External"/><Relationship Id="rId37" Type="http://schemas.openxmlformats.org/officeDocument/2006/relationships/hyperlink" Target="https://www.instagram.com/nicoya1203" TargetMode="External"/><Relationship Id="rId36" Type="http://schemas.openxmlformats.org/officeDocument/2006/relationships/hyperlink" Target="https://maps.app.goo.gl/WiS8rFbF993DeBHp9" TargetMode="External"/><Relationship Id="rId39" Type="http://schemas.openxmlformats.org/officeDocument/2006/relationships/hyperlink" Target="https://www.instagram.com/showz0069" TargetMode="External"/><Relationship Id="rId38" Type="http://schemas.openxmlformats.org/officeDocument/2006/relationships/hyperlink" Target="https://maps.app.goo.gl/xUqC8zQH77DDPQ7c9" TargetMode="External"/><Relationship Id="rId20" Type="http://schemas.openxmlformats.org/officeDocument/2006/relationships/hyperlink" Target="https://maps.app.goo.gl/a9AcRcjV9q895Jeo6" TargetMode="External"/><Relationship Id="rId22" Type="http://schemas.openxmlformats.org/officeDocument/2006/relationships/hyperlink" Target="https://maps.app.goo.gl/svhsvpjHHy4Wfxv49" TargetMode="External"/><Relationship Id="rId21" Type="http://schemas.openxmlformats.org/officeDocument/2006/relationships/hyperlink" Target="https://www.instagram.com/fujiwarakun_taisho" TargetMode="External"/><Relationship Id="rId24" Type="http://schemas.openxmlformats.org/officeDocument/2006/relationships/hyperlink" Target="https://maps.app.goo.gl/SGWcKvKGnM5jmSea6" TargetMode="External"/><Relationship Id="rId23" Type="http://schemas.openxmlformats.org/officeDocument/2006/relationships/hyperlink" Target="https://www.instagram.com/hige_to.boin" TargetMode="External"/><Relationship Id="rId26" Type="http://schemas.openxmlformats.org/officeDocument/2006/relationships/hyperlink" Target="https://maps.app.goo.gl/2TSaY99KjvafbH728" TargetMode="External"/><Relationship Id="rId25" Type="http://schemas.openxmlformats.org/officeDocument/2006/relationships/hyperlink" Target="https://www.instagram.com/izakaya_sei" TargetMode="External"/><Relationship Id="rId28" Type="http://schemas.openxmlformats.org/officeDocument/2006/relationships/hyperlink" Target="https://maps.app.goo.gl/GSNQFGQG6kZgSscz7" TargetMode="External"/><Relationship Id="rId27" Type="http://schemas.openxmlformats.org/officeDocument/2006/relationships/hyperlink" Target="https://www.instagram.com/izakaya_tasuichi" TargetMode="External"/><Relationship Id="rId29" Type="http://schemas.openxmlformats.org/officeDocument/2006/relationships/hyperlink" Target="https://www.instagram.com/jidoru_1013" TargetMode="External"/><Relationship Id="rId95" Type="http://schemas.openxmlformats.org/officeDocument/2006/relationships/hyperlink" Target="https://maps.app.goo.gl/mPWGsU2dZAaAkywP9" TargetMode="External"/><Relationship Id="rId94" Type="http://schemas.openxmlformats.org/officeDocument/2006/relationships/hyperlink" Target="https://www.instagram.com/nagondeyaaa" TargetMode="External"/><Relationship Id="rId97" Type="http://schemas.openxmlformats.org/officeDocument/2006/relationships/hyperlink" Target="https://maps.app.goo.gl/67gvLqPdoESWNqod7" TargetMode="External"/><Relationship Id="rId96" Type="http://schemas.openxmlformats.org/officeDocument/2006/relationships/hyperlink" Target="https://www.instagram.com/3piece_osake" TargetMode="External"/><Relationship Id="rId11" Type="http://schemas.openxmlformats.org/officeDocument/2006/relationships/hyperlink" Target="https://www.instagram.com/chweets_1138" TargetMode="External"/><Relationship Id="rId99" Type="http://schemas.openxmlformats.org/officeDocument/2006/relationships/hyperlink" Target="https://maps.app.goo.gl/xJwhZ9ZwW7z19PcK6" TargetMode="External"/><Relationship Id="rId10" Type="http://schemas.openxmlformats.org/officeDocument/2006/relationships/hyperlink" Target="https://maps.app.goo.gl/JVXGfL5NwG4vKz2t6" TargetMode="External"/><Relationship Id="rId98" Type="http://schemas.openxmlformats.org/officeDocument/2006/relationships/hyperlink" Target="https://www.instagram.com/so__suya" TargetMode="External"/><Relationship Id="rId13" Type="http://schemas.openxmlformats.org/officeDocument/2006/relationships/hyperlink" Target="https://www.instagram.com/bar_ks_taisho" TargetMode="External"/><Relationship Id="rId12" Type="http://schemas.openxmlformats.org/officeDocument/2006/relationships/hyperlink" Target="https://maps.app.goo.gl/rBmQt912byGEZgbU7" TargetMode="External"/><Relationship Id="rId91" Type="http://schemas.openxmlformats.org/officeDocument/2006/relationships/hyperlink" Target="https://maps.app.goo.gl/UVjYbt57Dy43WcJN9" TargetMode="External"/><Relationship Id="rId90" Type="http://schemas.openxmlformats.org/officeDocument/2006/relationships/hyperlink" Target="https://www.instagram.com/zakkys_hotdog" TargetMode="External"/><Relationship Id="rId93" Type="http://schemas.openxmlformats.org/officeDocument/2006/relationships/hyperlink" Target="https://maps.app.goo.gl/Kx7Ug92HU4BVttcu8" TargetMode="External"/><Relationship Id="rId92" Type="http://schemas.openxmlformats.org/officeDocument/2006/relationships/hyperlink" Target="https://www.instagram.com/mrtk.taishou" TargetMode="External"/><Relationship Id="rId15" Type="http://schemas.openxmlformats.org/officeDocument/2006/relationships/hyperlink" Target="https://www.instagram.com/bar_six_nine_0692" TargetMode="External"/><Relationship Id="rId110" Type="http://schemas.openxmlformats.org/officeDocument/2006/relationships/hyperlink" Target="https://www.instagram.com/kurasuno0.2" TargetMode="External"/><Relationship Id="rId14" Type="http://schemas.openxmlformats.org/officeDocument/2006/relationships/hyperlink" Target="https://maps.app.goo.gl/h1iC1PzMoU3TmyDg9" TargetMode="External"/><Relationship Id="rId17" Type="http://schemas.openxmlformats.org/officeDocument/2006/relationships/hyperlink" Target="https://www.instagram.com/bbq.mou.29" TargetMode="External"/><Relationship Id="rId16" Type="http://schemas.openxmlformats.org/officeDocument/2006/relationships/hyperlink" Target="https://maps.app.goo.gl/j4hhdwnWPQZ365rk7" TargetMode="External"/><Relationship Id="rId19" Type="http://schemas.openxmlformats.org/officeDocument/2006/relationships/hyperlink" Target="https://www.instagram.com/chabo_taisho" TargetMode="External"/><Relationship Id="rId18" Type="http://schemas.openxmlformats.org/officeDocument/2006/relationships/hyperlink" Target="https://maps.app.goo.gl/kCXY14AkjvY7xeAX8" TargetMode="External"/><Relationship Id="rId112" Type="http://schemas.openxmlformats.org/officeDocument/2006/relationships/drawing" Target="../drawings/drawing2.xml"/><Relationship Id="rId111" Type="http://schemas.openxmlformats.org/officeDocument/2006/relationships/hyperlink" Target="https://maps.app.goo.gl/LGRvgFisDgQDWBtZ9" TargetMode="External"/><Relationship Id="rId84" Type="http://schemas.openxmlformats.org/officeDocument/2006/relationships/hyperlink" Target="https://www.instagram.com/syuugo_ma_0418" TargetMode="External"/><Relationship Id="rId83" Type="http://schemas.openxmlformats.org/officeDocument/2006/relationships/hyperlink" Target="https://www.instagram.com/sheandcurry" TargetMode="External"/><Relationship Id="rId86" Type="http://schemas.openxmlformats.org/officeDocument/2006/relationships/hyperlink" Target="https://www.instagram.com/horumonyaki_miyake" TargetMode="External"/><Relationship Id="rId85" Type="http://schemas.openxmlformats.org/officeDocument/2006/relationships/hyperlink" Target="https://www.instagram.com/takechan8989" TargetMode="External"/><Relationship Id="rId88" Type="http://schemas.openxmlformats.org/officeDocument/2006/relationships/hyperlink" Target="https://www.instagram.com/kukai_izakaya_" TargetMode="External"/><Relationship Id="rId87" Type="http://schemas.openxmlformats.org/officeDocument/2006/relationships/hyperlink" Target="https://maps.app.goo.gl/vtyUhfcTtNvREszDA" TargetMode="External"/><Relationship Id="rId89" Type="http://schemas.openxmlformats.org/officeDocument/2006/relationships/hyperlink" Target="https://maps.app.goo.gl/2SUDVhYEkfnGQu8q9" TargetMode="External"/><Relationship Id="rId80" Type="http://schemas.openxmlformats.org/officeDocument/2006/relationships/hyperlink" Target="https://maps.app.goo.gl/wwd3JawbhkNotrCY8" TargetMode="External"/><Relationship Id="rId82" Type="http://schemas.openxmlformats.org/officeDocument/2006/relationships/hyperlink" Target="https://maps.app.goo.gl/7LxwLtzxhZXxzxw59" TargetMode="External"/><Relationship Id="rId81" Type="http://schemas.openxmlformats.org/officeDocument/2006/relationships/hyperlink" Target="https://www.instagram.com/pureko.yakisoba___" TargetMode="External"/><Relationship Id="rId1" Type="http://schemas.openxmlformats.org/officeDocument/2006/relationships/hyperlink" Target="https://www.instagram.com/t_youbi_" TargetMode="External"/><Relationship Id="rId2" Type="http://schemas.openxmlformats.org/officeDocument/2006/relationships/hyperlink" Target="https://maps.app.goo.gl/zEmF7y9d2rdJpG8a7" TargetMode="External"/><Relationship Id="rId3" Type="http://schemas.openxmlformats.org/officeDocument/2006/relationships/hyperlink" Target="https://www.instagram.com/hamburger.mama" TargetMode="External"/><Relationship Id="rId4" Type="http://schemas.openxmlformats.org/officeDocument/2006/relationships/hyperlink" Target="https://maps.app.goo.gl/LvrTR4thHgoGpoRc7" TargetMode="External"/><Relationship Id="rId9" Type="http://schemas.openxmlformats.org/officeDocument/2006/relationships/hyperlink" Target="https://www.instagram.com/haiena_haitu" TargetMode="External"/><Relationship Id="rId5" Type="http://schemas.openxmlformats.org/officeDocument/2006/relationships/hyperlink" Target="https://www.instagram.com/sunnasubi0675085821" TargetMode="External"/><Relationship Id="rId6" Type="http://schemas.openxmlformats.org/officeDocument/2006/relationships/hyperlink" Target="https://maps.app.goo.gl/9DHWbdXcG6VwQRg17" TargetMode="External"/><Relationship Id="rId7" Type="http://schemas.openxmlformats.org/officeDocument/2006/relationships/hyperlink" Target="https://www.instagram.com/taipan_taisho" TargetMode="External"/><Relationship Id="rId8" Type="http://schemas.openxmlformats.org/officeDocument/2006/relationships/hyperlink" Target="https://maps.app.goo.gl/wSUzPpSDHh3tzyap6" TargetMode="External"/><Relationship Id="rId73" Type="http://schemas.openxmlformats.org/officeDocument/2006/relationships/hyperlink" Target="https://www.instagram.com/bar_edit_osaka" TargetMode="External"/><Relationship Id="rId72" Type="http://schemas.openxmlformats.org/officeDocument/2006/relationships/hyperlink" Target="https://www.instagram.com/fine.r11123" TargetMode="External"/><Relationship Id="rId75" Type="http://schemas.openxmlformats.org/officeDocument/2006/relationships/hyperlink" Target="https://www.instagram.com/uoshin_no_goaikyou" TargetMode="External"/><Relationship Id="rId74" Type="http://schemas.openxmlformats.org/officeDocument/2006/relationships/hyperlink" Target="https://maps.app.goo.gl/o8GMyay7XvnYpEwk7" TargetMode="External"/><Relationship Id="rId77" Type="http://schemas.openxmlformats.org/officeDocument/2006/relationships/hyperlink" Target="https://www.instagram.com/9kaino_omote" TargetMode="External"/><Relationship Id="rId76" Type="http://schemas.openxmlformats.org/officeDocument/2006/relationships/hyperlink" Target="https://maps.app.goo.gl/fFoJbFKog8RT85k2A" TargetMode="External"/><Relationship Id="rId79" Type="http://schemas.openxmlformats.org/officeDocument/2006/relationships/hyperlink" Target="https://www.instagram.com/decore.taisho" TargetMode="External"/><Relationship Id="rId78" Type="http://schemas.openxmlformats.org/officeDocument/2006/relationships/hyperlink" Target="https://maps.app.goo.gl/omY9WnpdAGAU7iFX6" TargetMode="External"/><Relationship Id="rId71" Type="http://schemas.openxmlformats.org/officeDocument/2006/relationships/hyperlink" Target="https://www.instagram.com/__2knme0703" TargetMode="External"/><Relationship Id="rId70" Type="http://schemas.openxmlformats.org/officeDocument/2006/relationships/hyperlink" Target="https://www.instagram.com/cherry.taisho" TargetMode="External"/><Relationship Id="rId62" Type="http://schemas.openxmlformats.org/officeDocument/2006/relationships/hyperlink" Target="https://maps.app.goo.gl/95uXqnFcfkMM8Jwo8" TargetMode="External"/><Relationship Id="rId61" Type="http://schemas.openxmlformats.org/officeDocument/2006/relationships/hyperlink" Target="https://www.instagram.com/bar_cococolor_taisho" TargetMode="External"/><Relationship Id="rId64" Type="http://schemas.openxmlformats.org/officeDocument/2006/relationships/hyperlink" Target="https://maps.app.goo.gl/PB2QxJm3seTe8PFH6" TargetMode="External"/><Relationship Id="rId63" Type="http://schemas.openxmlformats.org/officeDocument/2006/relationships/hyperlink" Target="https://www.instagram.com/fuku__nchu" TargetMode="External"/><Relationship Id="rId66" Type="http://schemas.openxmlformats.org/officeDocument/2006/relationships/hyperlink" Target="https://maps.app.goo.gl/qM8P7SU6UqcARZm29" TargetMode="External"/><Relationship Id="rId65" Type="http://schemas.openxmlformats.org/officeDocument/2006/relationships/hyperlink" Target="https://www.instagram.com/tms_diner_osaka" TargetMode="External"/><Relationship Id="rId68" Type="http://schemas.openxmlformats.org/officeDocument/2006/relationships/hyperlink" Target="https://maps.app.goo.gl/e85zQpDRWme5xsyr6" TargetMode="External"/><Relationship Id="rId67" Type="http://schemas.openxmlformats.org/officeDocument/2006/relationships/hyperlink" Target="https://www.instagram.com/pizzerialegare" TargetMode="External"/><Relationship Id="rId60" Type="http://schemas.openxmlformats.org/officeDocument/2006/relationships/hyperlink" Target="https://maps.app.goo.gl/NL1uEH8kq3MhMEzdA" TargetMode="External"/><Relationship Id="rId69" Type="http://schemas.openxmlformats.org/officeDocument/2006/relationships/hyperlink" Target="https://www.instagram.com/okonomiyaki_mamama15" TargetMode="External"/><Relationship Id="rId51" Type="http://schemas.openxmlformats.org/officeDocument/2006/relationships/hyperlink" Target="https://www.instagram.com/sanchan.o2" TargetMode="External"/><Relationship Id="rId50" Type="http://schemas.openxmlformats.org/officeDocument/2006/relationships/hyperlink" Target="https://www.instagram.com/ebisuya.taisyo" TargetMode="External"/><Relationship Id="rId53" Type="http://schemas.openxmlformats.org/officeDocument/2006/relationships/hyperlink" Target="https://www.instagram.com/soundbar__hanaichi" TargetMode="External"/><Relationship Id="rId52" Type="http://schemas.openxmlformats.org/officeDocument/2006/relationships/hyperlink" Target="https://maps.app.goo.gl/DXhUb1vmR7aNUMMT8" TargetMode="External"/><Relationship Id="rId55" Type="http://schemas.openxmlformats.org/officeDocument/2006/relationships/hyperlink" Target="https://www.instagram.com/za.okinawa" TargetMode="External"/><Relationship Id="rId54" Type="http://schemas.openxmlformats.org/officeDocument/2006/relationships/hyperlink" Target="https://maps.app.goo.gl/typkWCnoPJKCUWyH8" TargetMode="External"/><Relationship Id="rId57" Type="http://schemas.openxmlformats.org/officeDocument/2006/relationships/hyperlink" Target="https://www.instagram.com/cafe.bar.nona9" TargetMode="External"/><Relationship Id="rId56" Type="http://schemas.openxmlformats.org/officeDocument/2006/relationships/hyperlink" Target="https://maps.app.goo.gl/Prnu5oBX6hyQzpft6" TargetMode="External"/><Relationship Id="rId59" Type="http://schemas.openxmlformats.org/officeDocument/2006/relationships/hyperlink" Target="https://www.instagram.com/essence_taishou" TargetMode="External"/><Relationship Id="rId58" Type="http://schemas.openxmlformats.org/officeDocument/2006/relationships/hyperlink" Target="https://maps.app.goo.gl/hsSrRGzYZdxe5zo2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63"/>
    <col customWidth="1" min="3" max="3" width="20.0"/>
    <col customWidth="1" min="4" max="12" width="18.88"/>
    <col customWidth="1" min="13" max="13" width="35.5"/>
    <col customWidth="1" min="14" max="14" width="18.88"/>
    <col customWidth="1" min="15" max="15" width="43.75"/>
    <col customWidth="1" min="16" max="32" width="18.88"/>
    <col customWidth="1" min="33" max="33" width="33.63"/>
    <col customWidth="1" min="34" max="34" width="66.25"/>
    <col customWidth="1" min="35" max="35" width="39.13"/>
    <col customWidth="1" min="36" max="44" width="18.88"/>
  </cols>
  <sheetData>
    <row r="1" ht="22.5" customHeight="1">
      <c r="A1" s="8" t="s">
        <v>24</v>
      </c>
      <c r="B1" s="8" t="s">
        <v>30</v>
      </c>
      <c r="C1" s="8" t="s">
        <v>31</v>
      </c>
      <c r="D1" s="8" t="s">
        <v>32</v>
      </c>
      <c r="E1" s="8" t="s">
        <v>33</v>
      </c>
      <c r="F1" s="8" t="s">
        <v>34</v>
      </c>
      <c r="G1" s="8" t="s">
        <v>37</v>
      </c>
      <c r="H1" s="8" t="s">
        <v>38</v>
      </c>
      <c r="I1" s="8" t="s">
        <v>39</v>
      </c>
      <c r="J1" s="8" t="s">
        <v>40</v>
      </c>
      <c r="K1" s="8" t="s">
        <v>41</v>
      </c>
      <c r="L1" s="8" t="s">
        <v>42</v>
      </c>
      <c r="M1" s="8" t="s">
        <v>46</v>
      </c>
      <c r="N1" s="8" t="s">
        <v>47</v>
      </c>
      <c r="O1" s="8" t="s">
        <v>48</v>
      </c>
      <c r="P1" s="8" t="s">
        <v>49</v>
      </c>
      <c r="Q1" s="8" t="s">
        <v>50</v>
      </c>
      <c r="R1" s="8" t="s">
        <v>53</v>
      </c>
      <c r="S1" s="8" t="s">
        <v>54</v>
      </c>
      <c r="T1" s="8" t="s">
        <v>55</v>
      </c>
      <c r="U1" s="8" t="s">
        <v>56</v>
      </c>
      <c r="V1" s="8" t="s">
        <v>57</v>
      </c>
      <c r="W1" s="8" t="s">
        <v>61</v>
      </c>
      <c r="X1" s="8" t="s">
        <v>62</v>
      </c>
      <c r="Y1" s="8" t="s">
        <v>63</v>
      </c>
      <c r="Z1" s="8" t="s">
        <v>64</v>
      </c>
      <c r="AA1" s="8" t="s">
        <v>65</v>
      </c>
      <c r="AB1" s="8" t="s">
        <v>68</v>
      </c>
      <c r="AC1" s="8" t="s">
        <v>69</v>
      </c>
      <c r="AD1" s="8" t="s">
        <v>70</v>
      </c>
      <c r="AE1" s="8" t="s">
        <v>71</v>
      </c>
      <c r="AF1" s="8" t="s">
        <v>72</v>
      </c>
      <c r="AG1" s="8" t="s">
        <v>73</v>
      </c>
      <c r="AH1" s="8" t="s">
        <v>77</v>
      </c>
      <c r="AI1" s="8" t="s">
        <v>78</v>
      </c>
      <c r="AJ1" s="8" t="s">
        <v>79</v>
      </c>
      <c r="AK1" s="8" t="s">
        <v>80</v>
      </c>
      <c r="AL1" s="10" t="s">
        <v>81</v>
      </c>
      <c r="AM1" s="11" t="s">
        <v>0</v>
      </c>
      <c r="AN1" s="12" t="s">
        <v>2</v>
      </c>
      <c r="AO1" s="12" t="s">
        <v>3</v>
      </c>
      <c r="AP1" s="12" t="s">
        <v>4</v>
      </c>
      <c r="AQ1" s="12" t="s">
        <v>5</v>
      </c>
      <c r="AR1" s="13" t="s">
        <v>87</v>
      </c>
    </row>
    <row r="2" ht="22.5" customHeight="1">
      <c r="A2" s="14">
        <v>46280.631479247684</v>
      </c>
      <c r="B2" s="15" t="s">
        <v>6</v>
      </c>
      <c r="C2" s="15" t="s">
        <v>90</v>
      </c>
      <c r="D2" s="15" t="s">
        <v>91</v>
      </c>
      <c r="E2" s="15" t="s">
        <v>92</v>
      </c>
      <c r="F2" s="15" t="s">
        <v>93</v>
      </c>
      <c r="G2" s="15" t="s">
        <v>97</v>
      </c>
      <c r="H2" s="15" t="s">
        <v>98</v>
      </c>
      <c r="I2" s="15" t="s">
        <v>99</v>
      </c>
      <c r="J2" s="17">
        <v>0.7083333333357587</v>
      </c>
      <c r="K2" s="17">
        <v>0.9166666666642413</v>
      </c>
      <c r="L2" s="15" t="s">
        <v>102</v>
      </c>
      <c r="M2" s="15" t="s">
        <v>103</v>
      </c>
      <c r="N2" s="15" t="s">
        <v>104</v>
      </c>
      <c r="O2" s="15" t="s">
        <v>105</v>
      </c>
      <c r="P2" s="15" t="s">
        <v>109</v>
      </c>
      <c r="Q2" s="15" t="s">
        <v>110</v>
      </c>
      <c r="R2" s="15" t="s">
        <v>111</v>
      </c>
      <c r="S2" s="15">
        <v>800.0</v>
      </c>
      <c r="T2" s="15" t="s">
        <v>113</v>
      </c>
      <c r="U2" s="15" t="s">
        <v>115</v>
      </c>
      <c r="AM2" s="18">
        <f t="array" ref="AM2">_xlfn.XLOOKUP($B2,'シート1'!$B$2:$B$70,'シート1'!$A$2:$A$70,"",0,1)</f>
        <v>1</v>
      </c>
      <c r="AN2" s="18" t="str">
        <f t="array" ref="AN2">_xlfn.XLOOKUP($B2,'シート1'!$B$2:$B$70,'シート1'!C$2:C$70,"",0,1)</f>
        <v>牛すじとお酒とおばんざい</v>
      </c>
      <c r="AO2" s="19" t="str">
        <f t="array" ref="AO2">_xlfn.XLOOKUP($B2,'シート1'!$B$2:$B$70,'シート1'!D$2:D$70,"",0,1)</f>
        <v>https://www.instagram.com/t_youbi_</v>
      </c>
      <c r="AP2" s="18" t="str">
        <f t="array" ref="AP2">_xlfn.XLOOKUP($B2,'シート1'!$B$2:$B$70,'シート1'!E$2:E$70,"",0,1)</f>
        <v>大阪市大正区三軒家西１丁目４−１５ 大正コペンシルビル 2F</v>
      </c>
      <c r="AQ2" s="19" t="str">
        <f t="array" ref="AQ2">_xlfn.XLOOKUP($B2,'シート1'!$B$2:$B$70,'シート1'!F$2:F$70,"",0,1)</f>
        <v>https://maps.app.goo.gl/zEmF7y9d2rdJpG8a7</v>
      </c>
      <c r="AR2" s="20"/>
    </row>
    <row r="3" ht="22.5" customHeight="1">
      <c r="A3" s="14">
        <v>46291.663153263886</v>
      </c>
      <c r="B3" s="15" t="s">
        <v>27</v>
      </c>
      <c r="C3" s="15" t="s">
        <v>90</v>
      </c>
      <c r="D3" s="15" t="s">
        <v>136</v>
      </c>
      <c r="E3" s="15" t="s">
        <v>137</v>
      </c>
      <c r="F3" s="15" t="s">
        <v>138</v>
      </c>
      <c r="G3" s="15" t="s">
        <v>139</v>
      </c>
      <c r="H3" s="15" t="s">
        <v>98</v>
      </c>
      <c r="I3" s="15" t="s">
        <v>99</v>
      </c>
      <c r="J3" s="17">
        <v>0.7083333333333334</v>
      </c>
      <c r="K3" s="17">
        <v>0.9583333333333334</v>
      </c>
      <c r="L3" s="15" t="s">
        <v>143</v>
      </c>
      <c r="M3" s="15" t="s">
        <v>144</v>
      </c>
      <c r="N3" s="15" t="s">
        <v>104</v>
      </c>
      <c r="O3" s="15" t="s">
        <v>105</v>
      </c>
      <c r="P3" s="15" t="s">
        <v>147</v>
      </c>
      <c r="Q3" s="15" t="s">
        <v>147</v>
      </c>
      <c r="R3" s="15" t="s">
        <v>147</v>
      </c>
      <c r="S3" s="15">
        <v>1000.0</v>
      </c>
      <c r="T3" s="15">
        <v>0.0</v>
      </c>
      <c r="U3" s="15" t="s">
        <v>151</v>
      </c>
      <c r="AL3" s="15">
        <v>30.0</v>
      </c>
      <c r="AM3" s="18">
        <f t="array" ref="AM3">_xlfn.XLOOKUP($B3,'シート1'!$B$2:$B$70,'シート1'!$A$2:$A$70,"",0,1)</f>
        <v>5</v>
      </c>
      <c r="AN3" s="18" t="str">
        <f t="array" ref="AN3">_xlfn.XLOOKUP($B3,'シート1'!$B$2:$B$70,'シート1'!C$2:C$70,"",0,1)</f>
        <v>ジビエ・肉料理</v>
      </c>
      <c r="AO3" s="19" t="str">
        <f t="array" ref="AO3">_xlfn.XLOOKUP($B3,'シート1'!$B$2:$B$70,'シート1'!D$2:D$70,"",0,1)</f>
        <v>https://www.instagram.com/haiena_haitu</v>
      </c>
      <c r="AP3" s="18" t="str">
        <f t="array" ref="AP3">_xlfn.XLOOKUP($B3,'シート1'!$B$2:$B$70,'シート1'!E$2:E$70,"",0,1)</f>
        <v>大阪市大正区三軒家西１丁目５−７</v>
      </c>
      <c r="AQ3" s="19" t="str">
        <f t="array" ref="AQ3">_xlfn.XLOOKUP($B3,'シート1'!$B$2:$B$70,'シート1'!F$2:F$70,"",0,1)</f>
        <v>https://maps.app.goo.gl/JVXGfL5NwG4vKz2t6</v>
      </c>
      <c r="AR3" s="20"/>
    </row>
    <row r="4" ht="22.5" customHeight="1">
      <c r="A4" s="14">
        <v>46292.641919664355</v>
      </c>
      <c r="B4" s="15" t="s">
        <v>43</v>
      </c>
      <c r="C4" s="15" t="s">
        <v>90</v>
      </c>
      <c r="D4" s="15" t="s">
        <v>91</v>
      </c>
      <c r="E4" s="15" t="s">
        <v>163</v>
      </c>
      <c r="F4" s="15" t="s">
        <v>138</v>
      </c>
      <c r="G4" s="15" t="s">
        <v>164</v>
      </c>
      <c r="H4" s="15" t="s">
        <v>98</v>
      </c>
      <c r="I4" s="15" t="s">
        <v>168</v>
      </c>
      <c r="J4" s="17">
        <v>0.7916666666642413</v>
      </c>
      <c r="K4" s="17">
        <v>0.9583333333333334</v>
      </c>
      <c r="L4" s="15" t="s">
        <v>169</v>
      </c>
      <c r="M4" s="15" t="s">
        <v>170</v>
      </c>
      <c r="N4" s="15" t="s">
        <v>104</v>
      </c>
      <c r="O4" s="15" t="s">
        <v>105</v>
      </c>
      <c r="P4" s="15" t="s">
        <v>173</v>
      </c>
      <c r="Q4" s="15" t="s">
        <v>174</v>
      </c>
      <c r="S4" s="15">
        <v>1000.0</v>
      </c>
      <c r="T4" s="15">
        <v>0.0</v>
      </c>
      <c r="AL4" s="15">
        <v>15.0</v>
      </c>
      <c r="AM4" s="18">
        <f t="array" ref="AM4">_xlfn.XLOOKUP($B4,'シート1'!$B$2:$B$70,'シート1'!$A$2:$A$70,"",0,1)</f>
        <v>6</v>
      </c>
      <c r="AN4" s="18" t="str">
        <f t="array" ref="AN4">_xlfn.XLOOKUP($B4,'シート1'!$B$2:$B$70,'シート1'!C$2:C$70,"",0,1)</f>
        <v>クレープ酒場・夜カフェ</v>
      </c>
      <c r="AO4" s="19" t="str">
        <f t="array" ref="AO4">_xlfn.XLOOKUP($B4,'シート1'!$B$2:$B$70,'シート1'!D$2:D$70,"",0,1)</f>
        <v>https://www.instagram.com/chweets_1138</v>
      </c>
      <c r="AP4" s="18" t="str">
        <f t="array" ref="AP4">_xlfn.XLOOKUP($B4,'シート1'!$B$2:$B$70,'シート1'!E$2:E$70,"",0,1)</f>
        <v>大阪市大正区三軒家西１丁目１７−１７</v>
      </c>
      <c r="AQ4" s="19" t="str">
        <f t="array" ref="AQ4">_xlfn.XLOOKUP($B4,'シート1'!$B$2:$B$70,'シート1'!F$2:F$70,"",0,1)</f>
        <v>https://maps.app.goo.gl/rBmQt912byGEZgbU7</v>
      </c>
      <c r="AR4" s="20"/>
    </row>
    <row r="5" ht="22.5" customHeight="1">
      <c r="A5" s="14">
        <v>46295.488864942134</v>
      </c>
      <c r="B5" s="23" t="s">
        <v>188</v>
      </c>
      <c r="C5" s="15" t="s">
        <v>90</v>
      </c>
      <c r="D5" s="15" t="s">
        <v>191</v>
      </c>
      <c r="E5" s="15" t="s">
        <v>92</v>
      </c>
      <c r="F5" s="15" t="s">
        <v>192</v>
      </c>
      <c r="G5" s="15" t="s">
        <v>97</v>
      </c>
      <c r="H5" s="15" t="s">
        <v>196</v>
      </c>
      <c r="I5" s="15" t="s">
        <v>197</v>
      </c>
      <c r="J5" s="17">
        <v>0.7291666666642413</v>
      </c>
      <c r="K5" s="17">
        <v>0.9583333333357587</v>
      </c>
      <c r="M5" s="15" t="s">
        <v>170</v>
      </c>
      <c r="N5" s="15" t="s">
        <v>104</v>
      </c>
      <c r="O5" s="15" t="s">
        <v>105</v>
      </c>
      <c r="P5" s="15" t="s">
        <v>198</v>
      </c>
      <c r="Q5" s="15" t="s">
        <v>199</v>
      </c>
      <c r="R5" s="15" t="s">
        <v>202</v>
      </c>
      <c r="S5" s="15">
        <v>800.0</v>
      </c>
      <c r="T5" s="15">
        <v>0.0</v>
      </c>
      <c r="U5" s="15" t="s">
        <v>203</v>
      </c>
      <c r="AL5" s="15">
        <v>30.0</v>
      </c>
      <c r="AM5" s="18">
        <f t="array" ref="AM5">_xlfn.XLOOKUP($B5,'シート1'!$B$2:$B$70,'シート1'!$A$2:$A$70,"",0,1)</f>
        <v>16</v>
      </c>
      <c r="AN5" s="18" t="str">
        <f t="array" ref="AN5">_xlfn.XLOOKUP($B5,'シート1'!$B$2:$B$70,'シート1'!C$2:C$70,"",0,1)</f>
        <v>昭和レトロなおばんざい</v>
      </c>
      <c r="AO5" s="19" t="str">
        <f t="array" ref="AO5">_xlfn.XLOOKUP($B5,'シート1'!$B$2:$B$70,'シート1'!D$2:D$70,"",0,1)</f>
        <v>https://www.instagram.com/nanchatteino_erie</v>
      </c>
      <c r="AP5" s="18" t="str">
        <f t="array" ref="AP5">_xlfn.XLOOKUP($B5,'シート1'!$B$2:$B$70,'シート1'!E$2:E$70,"",0,1)</f>
        <v>大阪市大正区三軒家東１丁目１７−３３ 平和相互商事大正橋ビル 1F</v>
      </c>
      <c r="AQ5" s="19" t="str">
        <f t="array" ref="AQ5">_xlfn.XLOOKUP($B5,'シート1'!$B$2:$B$70,'シート1'!F$2:F$70,"",0,1)</f>
        <v>https://maps.app.goo.gl/kGdEWrLq5bwaRyeX7</v>
      </c>
      <c r="AR5" s="20"/>
    </row>
    <row r="6" ht="22.5" customHeight="1">
      <c r="A6" s="14">
        <v>46295.56995630787</v>
      </c>
      <c r="B6" s="25" t="s">
        <v>11</v>
      </c>
      <c r="C6" s="15" t="s">
        <v>90</v>
      </c>
      <c r="D6" s="15" t="s">
        <v>136</v>
      </c>
      <c r="E6" s="15" t="s">
        <v>215</v>
      </c>
      <c r="F6" s="15" t="s">
        <v>192</v>
      </c>
      <c r="G6" s="15" t="s">
        <v>97</v>
      </c>
      <c r="H6" s="15" t="s">
        <v>196</v>
      </c>
      <c r="I6" s="15" t="s">
        <v>218</v>
      </c>
      <c r="J6" s="17">
        <v>0.5</v>
      </c>
      <c r="K6" s="17">
        <v>0.0</v>
      </c>
      <c r="L6" s="15" t="s">
        <v>219</v>
      </c>
      <c r="M6" s="15" t="s">
        <v>220</v>
      </c>
      <c r="N6" s="15" t="s">
        <v>104</v>
      </c>
      <c r="O6" s="15" t="s">
        <v>105</v>
      </c>
      <c r="P6" s="15" t="s">
        <v>223</v>
      </c>
      <c r="Q6" s="15" t="s">
        <v>225</v>
      </c>
      <c r="S6" s="26">
        <v>1000.0</v>
      </c>
      <c r="T6" s="15">
        <v>0.0</v>
      </c>
      <c r="AL6" s="15">
        <v>20.0</v>
      </c>
      <c r="AM6" s="18">
        <f t="array" ref="AM6">_xlfn.XLOOKUP($B6,'シート1'!$B$2:$B$70,'シート1'!$A$2:$A$70,"",0,1)</f>
        <v>2</v>
      </c>
      <c r="AN6" s="18" t="str">
        <f t="array" ref="AN6">_xlfn.XLOOKUP($B6,'シート1'!$B$2:$B$70,'シート1'!C$2:C$70,"",0,1)</f>
        <v>一品と酒とグルメバーガー</v>
      </c>
      <c r="AO6" s="19" t="str">
        <f t="array" ref="AO6">_xlfn.XLOOKUP($B6,'シート1'!$B$2:$B$70,'シート1'!D$2:D$70,"",0,1)</f>
        <v>https://www.instagram.com/hamburger.mama</v>
      </c>
      <c r="AP6" s="18" t="str">
        <f t="array" ref="AP6">_xlfn.XLOOKUP($B6,'シート1'!$B$2:$B$70,'シート1'!E$2:E$70,"",0,1)</f>
        <v>大阪市大正区三軒家東１丁目１０−２０</v>
      </c>
      <c r="AQ6" s="19" t="str">
        <f t="array" ref="AQ6">_xlfn.XLOOKUP($B6,'シート1'!$B$2:$B$70,'シート1'!F$2:F$70,"",0,1)</f>
        <v>https://maps.app.goo.gl/LvrTR4thHgoGpoRc7</v>
      </c>
      <c r="AR6" s="20"/>
    </row>
    <row r="7" ht="22.5" customHeight="1">
      <c r="A7" s="14">
        <v>46295.62130144676</v>
      </c>
      <c r="B7" s="15" t="s">
        <v>237</v>
      </c>
      <c r="C7" s="15" t="s">
        <v>90</v>
      </c>
      <c r="D7" s="15" t="s">
        <v>191</v>
      </c>
      <c r="E7" s="15" t="s">
        <v>238</v>
      </c>
      <c r="F7" s="15" t="s">
        <v>192</v>
      </c>
      <c r="G7" s="15" t="s">
        <v>239</v>
      </c>
      <c r="H7" s="15" t="s">
        <v>196</v>
      </c>
      <c r="I7" s="15" t="s">
        <v>243</v>
      </c>
      <c r="J7" s="17">
        <v>0.875</v>
      </c>
      <c r="K7" s="17">
        <v>0.125</v>
      </c>
      <c r="L7" s="15" t="s">
        <v>244</v>
      </c>
      <c r="M7" s="15" t="s">
        <v>170</v>
      </c>
      <c r="N7" s="15" t="s">
        <v>104</v>
      </c>
      <c r="O7" s="15" t="s">
        <v>247</v>
      </c>
      <c r="AA7" s="15" t="s">
        <v>248</v>
      </c>
      <c r="AB7" s="15" t="s">
        <v>249</v>
      </c>
      <c r="AC7" s="15" t="s">
        <v>252</v>
      </c>
      <c r="AD7" s="15">
        <v>1000.0</v>
      </c>
      <c r="AE7" s="15">
        <v>500.0</v>
      </c>
      <c r="AF7" s="15" t="s">
        <v>254</v>
      </c>
      <c r="AG7" s="15" t="s">
        <v>255</v>
      </c>
      <c r="AH7" s="15" t="s">
        <v>256</v>
      </c>
      <c r="AI7" s="15" t="s">
        <v>257</v>
      </c>
      <c r="AJ7" s="15" t="s">
        <v>258</v>
      </c>
      <c r="AK7" s="15" t="s">
        <v>261</v>
      </c>
      <c r="AL7" s="15">
        <v>15.0</v>
      </c>
      <c r="AM7" s="18">
        <f t="array" ref="AM7">_xlfn.XLOOKUP($B7,'シート1'!$B$2:$B$70,'シート1'!$A$2:$A$70,"",0,1)</f>
        <v>19</v>
      </c>
      <c r="AN7" s="18" t="str">
        <f t="array" ref="AN7">_xlfn.XLOOKUP($B7,'シート1'!$B$2:$B$70,'シート1'!C$2:C$70,"",0,1)</f>
        <v>80's・ロック・駄菓子</v>
      </c>
      <c r="AO7" s="19" t="str">
        <f t="array" ref="AO7">_xlfn.XLOOKUP($B7,'シート1'!$B$2:$B$70,'シート1'!D$2:D$70,"",0,1)</f>
        <v>https://www.instagram.com/showz0069</v>
      </c>
      <c r="AP7" s="18" t="str">
        <f t="array" ref="AP7">_xlfn.XLOOKUP($B7,'シート1'!$B$2:$B$70,'シート1'!E$2:E$70,"",0,1)</f>
        <v>大阪市大正区三軒家東１丁目２−５ 1F</v>
      </c>
      <c r="AQ7" s="19" t="str">
        <f t="array" ref="AQ7">_xlfn.XLOOKUP($B7,'シート1'!$B$2:$B$70,'シート1'!F$2:F$70,"",0,1)</f>
        <v>https://maps.app.goo.gl/uUPFxJA4w57PqYzf7</v>
      </c>
      <c r="AR7" s="20"/>
    </row>
    <row r="8" ht="22.5" customHeight="1">
      <c r="A8" s="14">
        <v>46295.810687523146</v>
      </c>
      <c r="B8" s="15" t="s">
        <v>74</v>
      </c>
      <c r="C8" s="15" t="s">
        <v>90</v>
      </c>
      <c r="D8" s="15" t="s">
        <v>191</v>
      </c>
      <c r="E8" s="15" t="s">
        <v>238</v>
      </c>
      <c r="F8" s="15" t="s">
        <v>138</v>
      </c>
      <c r="G8" s="15" t="s">
        <v>239</v>
      </c>
      <c r="H8" s="15" t="s">
        <v>196</v>
      </c>
      <c r="I8" s="15" t="s">
        <v>243</v>
      </c>
      <c r="J8" s="17">
        <v>0.8333333333357587</v>
      </c>
      <c r="K8" s="17">
        <v>0.125</v>
      </c>
      <c r="M8" s="15" t="s">
        <v>170</v>
      </c>
      <c r="N8" s="15" t="s">
        <v>277</v>
      </c>
      <c r="O8" s="15" t="s">
        <v>105</v>
      </c>
      <c r="P8" s="15" t="s">
        <v>278</v>
      </c>
      <c r="Q8" s="15" t="s">
        <v>279</v>
      </c>
      <c r="S8" s="15">
        <v>1000.0</v>
      </c>
      <c r="AL8" s="15">
        <v>5.0</v>
      </c>
      <c r="AM8" s="18">
        <f t="array" ref="AM8">_xlfn.XLOOKUP($B8,'シート1'!$B$2:$B$70,'シート1'!$A$2:$A$70,"",0,1)</f>
        <v>8</v>
      </c>
      <c r="AN8" s="18" t="str">
        <f t="array" ref="AN8">_xlfn.XLOOKUP($B8,'シート1'!$B$2:$B$70,'シート1'!C$2:C$70,"",0,1)</f>
        <v>ショットバー</v>
      </c>
      <c r="AO8" s="19" t="str">
        <f t="array" ref="AO8">_xlfn.XLOOKUP($B8,'シート1'!$B$2:$B$70,'シート1'!D$2:D$70,"",0,1)</f>
        <v>https://www.instagram.com/bar_six_nine_0692</v>
      </c>
      <c r="AP8" s="18" t="str">
        <f t="array" ref="AP8">_xlfn.XLOOKUP($B8,'シート1'!$B$2:$B$70,'シート1'!E$2:E$70,"",0,1)</f>
        <v>大阪市大正区三軒家東１丁目５</v>
      </c>
      <c r="AQ8" s="19" t="str">
        <f t="array" ref="AQ8">_xlfn.XLOOKUP($B8,'シート1'!$B$2:$B$70,'シート1'!F$2:F$70,"",0,1)</f>
        <v>https://maps.app.goo.gl/j4hhdwnWPQZ365rk7</v>
      </c>
      <c r="AR8" s="20"/>
    </row>
    <row r="9" ht="22.5" customHeight="1">
      <c r="A9" s="14">
        <v>46295.91687133102</v>
      </c>
      <c r="B9" s="15" t="s">
        <v>221</v>
      </c>
      <c r="C9" s="15" t="s">
        <v>90</v>
      </c>
      <c r="D9" s="15" t="s">
        <v>136</v>
      </c>
      <c r="E9" s="15" t="s">
        <v>238</v>
      </c>
      <c r="F9" s="15" t="s">
        <v>192</v>
      </c>
      <c r="G9" s="15" t="s">
        <v>239</v>
      </c>
      <c r="H9" s="15" t="s">
        <v>196</v>
      </c>
      <c r="I9" s="15" t="s">
        <v>243</v>
      </c>
      <c r="J9" s="17">
        <v>0.875</v>
      </c>
      <c r="K9" s="17">
        <v>0.08333333333575865</v>
      </c>
      <c r="L9" s="15" t="s">
        <v>304</v>
      </c>
      <c r="M9" s="15" t="s">
        <v>170</v>
      </c>
      <c r="N9" s="15" t="s">
        <v>277</v>
      </c>
      <c r="O9" s="15" t="s">
        <v>247</v>
      </c>
      <c r="AA9" s="15" t="s">
        <v>310</v>
      </c>
      <c r="AB9" s="15" t="s">
        <v>312</v>
      </c>
      <c r="AC9" s="15" t="s">
        <v>313</v>
      </c>
      <c r="AD9" s="15">
        <v>1000.0</v>
      </c>
      <c r="AE9" s="15" t="s">
        <v>317</v>
      </c>
      <c r="AF9" s="15" t="s">
        <v>313</v>
      </c>
      <c r="AG9" s="15" t="s">
        <v>318</v>
      </c>
      <c r="AH9" s="15" t="s">
        <v>319</v>
      </c>
      <c r="AI9" s="15" t="s">
        <v>317</v>
      </c>
      <c r="AJ9" s="15" t="s">
        <v>317</v>
      </c>
      <c r="AL9" s="15">
        <v>5.0</v>
      </c>
      <c r="AM9" s="18">
        <f t="array" ref="AM9">_xlfn.XLOOKUP($B9,'シート1'!$B$2:$B$70,'シート1'!$A$2:$A$70,"",0,1)</f>
        <v>27</v>
      </c>
      <c r="AN9" s="18" t="str">
        <f t="array" ref="AN9">_xlfn.XLOOKUP($B9,'シート1'!$B$2:$B$70,'シート1'!C$2:C$70,"",0,1)</f>
        <v>カラオケバー</v>
      </c>
      <c r="AO9" s="19" t="str">
        <f t="array" ref="AO9">_xlfn.XLOOKUP($B9,'シート1'!$B$2:$B$70,'シート1'!D$2:D$70,"",0,1)</f>
        <v>https://www.instagram.com/soundbar__hanaichi</v>
      </c>
      <c r="AP9" s="18" t="str">
        <f t="array" ref="AP9">_xlfn.XLOOKUP($B9,'シート1'!$B$2:$B$70,'シート1'!E$2:E$70,"",0,1)</f>
        <v>大阪市大正区三軒家東１丁目５−１４ 2階</v>
      </c>
      <c r="AQ9" s="19" t="str">
        <f t="array" ref="AQ9">_xlfn.XLOOKUP($B9,'シート1'!$B$2:$B$70,'シート1'!F$2:F$70,"",0,1)</f>
        <v>https://maps.app.goo.gl/typkWCnoPJKCUWyH8</v>
      </c>
      <c r="AR9" s="20"/>
    </row>
    <row r="10" ht="22.5" customHeight="1">
      <c r="A10" s="14">
        <v>46296.49762741898</v>
      </c>
      <c r="B10" s="15" t="s">
        <v>121</v>
      </c>
      <c r="C10" s="15" t="s">
        <v>90</v>
      </c>
      <c r="D10" s="15" t="s">
        <v>136</v>
      </c>
      <c r="E10" s="15" t="s">
        <v>333</v>
      </c>
      <c r="F10" s="15" t="s">
        <v>138</v>
      </c>
      <c r="G10" s="15" t="s">
        <v>139</v>
      </c>
      <c r="H10" s="15" t="s">
        <v>196</v>
      </c>
      <c r="I10" s="15" t="s">
        <v>243</v>
      </c>
      <c r="J10" s="17">
        <v>0.75</v>
      </c>
      <c r="K10" s="17">
        <v>0.9166666666642413</v>
      </c>
      <c r="L10" s="15" t="s">
        <v>334</v>
      </c>
      <c r="M10" s="15" t="s">
        <v>335</v>
      </c>
      <c r="N10" s="15" t="s">
        <v>277</v>
      </c>
      <c r="O10" s="15" t="s">
        <v>105</v>
      </c>
      <c r="P10" s="15" t="s">
        <v>336</v>
      </c>
      <c r="Q10" s="15" t="s">
        <v>338</v>
      </c>
      <c r="S10" s="15">
        <v>1000.0</v>
      </c>
      <c r="AL10" s="15">
        <v>10.0</v>
      </c>
      <c r="AM10" s="18">
        <f t="array" ref="AM10">_xlfn.XLOOKUP($B10,'シート1'!$B$2:$B$70,'シート1'!$A$2:$A$70,"",0,1)</f>
        <v>12</v>
      </c>
      <c r="AN10" s="18" t="str">
        <f t="array" ref="AN10">_xlfn.XLOOKUP($B10,'シート1'!$B$2:$B$70,'シート1'!C$2:C$70,"",0,1)</f>
        <v>串カツ・牡蠣・沖縄料理</v>
      </c>
      <c r="AO10" s="19" t="str">
        <f t="array" ref="AO10">_xlfn.XLOOKUP($B10,'シート1'!$B$2:$B$70,'シート1'!D$2:D$70,"",0,1)</f>
        <v>https://www.instagram.com/izakaya_sei</v>
      </c>
      <c r="AP10" s="18" t="str">
        <f t="array" ref="AP10">_xlfn.XLOOKUP($B10,'シート1'!$B$2:$B$70,'シート1'!E$2:E$70,"",0,1)</f>
        <v>大阪市大正区三軒家東１丁目３−１１</v>
      </c>
      <c r="AQ10" s="19" t="str">
        <f t="array" ref="AQ10">_xlfn.XLOOKUP($B10,'シート1'!$B$2:$B$70,'シート1'!F$2:F$70,"",0,1)</f>
        <v>https://maps.app.goo.gl/2TSaY99KjvafbH728</v>
      </c>
      <c r="AR10" s="20"/>
    </row>
    <row r="11" ht="22.5" customHeight="1">
      <c r="A11" s="14">
        <v>46296.538205590274</v>
      </c>
      <c r="B11" s="15" t="s">
        <v>21</v>
      </c>
      <c r="C11" s="15" t="s">
        <v>90</v>
      </c>
      <c r="D11" s="15" t="s">
        <v>136</v>
      </c>
      <c r="E11" s="15" t="s">
        <v>348</v>
      </c>
      <c r="F11" s="15" t="s">
        <v>349</v>
      </c>
      <c r="G11" s="15" t="s">
        <v>97</v>
      </c>
      <c r="H11" s="15" t="s">
        <v>98</v>
      </c>
      <c r="I11" s="15" t="s">
        <v>243</v>
      </c>
      <c r="J11" s="17">
        <v>0.625</v>
      </c>
      <c r="K11" s="17">
        <v>0.9166666666642413</v>
      </c>
      <c r="M11" s="15" t="s">
        <v>144</v>
      </c>
      <c r="N11" s="15" t="s">
        <v>104</v>
      </c>
      <c r="O11" s="15" t="s">
        <v>247</v>
      </c>
      <c r="AA11" s="15" t="s">
        <v>353</v>
      </c>
      <c r="AB11" s="15" t="s">
        <v>354</v>
      </c>
      <c r="AD11" s="15">
        <v>1000.0</v>
      </c>
      <c r="AE11" s="15">
        <v>330.0</v>
      </c>
      <c r="AG11" s="15" t="s">
        <v>355</v>
      </c>
      <c r="AH11" s="15" t="s">
        <v>355</v>
      </c>
      <c r="AI11" s="15" t="s">
        <v>355</v>
      </c>
      <c r="AL11" s="15">
        <v>10.0</v>
      </c>
      <c r="AM11" s="18">
        <f t="array" ref="AM11">_xlfn.XLOOKUP($B11,'シート1'!$B$2:$B$70,'シート1'!$A$2:$A$70,"",0,1)</f>
        <v>4</v>
      </c>
      <c r="AN11" s="18" t="str">
        <f t="array" ref="AN11">_xlfn.XLOOKUP($B11,'シート1'!$B$2:$B$70,'シート1'!C$2:C$70,"",0,1)</f>
        <v>創作ガチ中華</v>
      </c>
      <c r="AO11" s="19" t="str">
        <f t="array" ref="AO11">_xlfn.XLOOKUP($B11,'シート1'!$B$2:$B$70,'シート1'!D$2:D$70,"",0,1)</f>
        <v>https://www.instagram.com/taipan_taisho</v>
      </c>
      <c r="AP11" s="18" t="str">
        <f t="array" ref="AP11">_xlfn.XLOOKUP($B11,'シート1'!$B$2:$B$70,'シート1'!E$2:E$70,"",0,1)</f>
        <v>大阪市大正区三軒家東１丁目５−１３</v>
      </c>
      <c r="AQ11" s="19" t="str">
        <f t="array" ref="AQ11">_xlfn.XLOOKUP($B11,'シート1'!$B$2:$B$70,'シート1'!F$2:F$70,"",0,1)</f>
        <v>https://maps.app.goo.gl/wSUzPpSDHh3tzyap6</v>
      </c>
      <c r="AR11" s="20"/>
    </row>
    <row r="12" ht="22.5" customHeight="1">
      <c r="A12" s="14">
        <v>46296.62372876157</v>
      </c>
      <c r="B12" s="15" t="s">
        <v>16</v>
      </c>
      <c r="C12" s="15" t="s">
        <v>90</v>
      </c>
      <c r="D12" s="15" t="s">
        <v>136</v>
      </c>
      <c r="E12" s="15" t="s">
        <v>368</v>
      </c>
      <c r="F12" s="15" t="s">
        <v>138</v>
      </c>
      <c r="G12" s="15" t="s">
        <v>139</v>
      </c>
      <c r="H12" s="15" t="s">
        <v>196</v>
      </c>
      <c r="I12" s="15" t="s">
        <v>243</v>
      </c>
      <c r="J12" s="17">
        <v>0.625</v>
      </c>
      <c r="K12" s="17">
        <v>0.9166666666642413</v>
      </c>
      <c r="M12" s="15" t="s">
        <v>374</v>
      </c>
      <c r="N12" s="15" t="s">
        <v>104</v>
      </c>
      <c r="O12" s="15" t="s">
        <v>247</v>
      </c>
      <c r="AA12" s="15" t="s">
        <v>375</v>
      </c>
      <c r="AB12" s="15" t="s">
        <v>376</v>
      </c>
      <c r="AC12" s="15" t="s">
        <v>377</v>
      </c>
      <c r="AD12" s="26">
        <v>2000.0</v>
      </c>
      <c r="AE12" s="15">
        <v>0.0</v>
      </c>
      <c r="AF12" s="15" t="s">
        <v>381</v>
      </c>
      <c r="AG12" s="15" t="s">
        <v>382</v>
      </c>
      <c r="AH12" s="15" t="s">
        <v>383</v>
      </c>
      <c r="AI12" s="15">
        <v>0.0</v>
      </c>
      <c r="AL12" s="15">
        <v>10.0</v>
      </c>
      <c r="AM12" s="18">
        <f t="array" ref="AM12">_xlfn.XLOOKUP($B12,'シート1'!$B$2:$B$70,'シート1'!$A$2:$A$70,"",0,1)</f>
        <v>3</v>
      </c>
      <c r="AN12" s="18" t="str">
        <f t="array" ref="AN12">_xlfn.XLOOKUP($B12,'シート1'!$B$2:$B$70,'シート1'!C$2:C$70,"",0,1)</f>
        <v>通える高級焼肉</v>
      </c>
      <c r="AO12" s="19" t="str">
        <f t="array" ref="AO12">_xlfn.XLOOKUP($B12,'シート1'!$B$2:$B$70,'シート1'!D$2:D$70,"",0,1)</f>
        <v>https://www.instagram.com/sunnasubi0675085821</v>
      </c>
      <c r="AP12" s="18" t="str">
        <f t="array" ref="AP12">_xlfn.XLOOKUP($B12,'シート1'!$B$2:$B$70,'シート1'!E$2:E$70,"",0,1)</f>
        <v>大阪市大正区三軒家東１丁目５−１０</v>
      </c>
      <c r="AQ12" s="19" t="str">
        <f t="array" ref="AQ12">_xlfn.XLOOKUP($B12,'シート1'!$B$2:$B$70,'シート1'!F$2:F$70,"",0,1)</f>
        <v>https://maps.app.goo.gl/9DHWbdXcG6VwQRg17</v>
      </c>
      <c r="AR12" s="20"/>
    </row>
    <row r="13" ht="22.5" customHeight="1">
      <c r="A13" s="14">
        <v>46300.61462475694</v>
      </c>
      <c r="B13" s="15" t="s">
        <v>250</v>
      </c>
      <c r="C13" s="15" t="s">
        <v>90</v>
      </c>
      <c r="D13" s="15" t="s">
        <v>91</v>
      </c>
      <c r="E13" s="15" t="s">
        <v>238</v>
      </c>
      <c r="F13" s="15" t="s">
        <v>192</v>
      </c>
      <c r="G13" s="15" t="s">
        <v>97</v>
      </c>
      <c r="H13" s="15" t="s">
        <v>196</v>
      </c>
      <c r="I13" s="15" t="s">
        <v>243</v>
      </c>
      <c r="J13" s="17">
        <v>0.8333333333357587</v>
      </c>
      <c r="K13" s="17">
        <v>0.14583333333575865</v>
      </c>
      <c r="L13" s="15" t="s">
        <v>400</v>
      </c>
      <c r="M13" s="15" t="s">
        <v>401</v>
      </c>
      <c r="N13" s="15" t="s">
        <v>104</v>
      </c>
      <c r="O13" s="15" t="s">
        <v>105</v>
      </c>
      <c r="P13" s="15" t="s">
        <v>405</v>
      </c>
      <c r="Q13" s="15" t="s">
        <v>406</v>
      </c>
      <c r="R13" s="15" t="s">
        <v>407</v>
      </c>
      <c r="S13" s="15">
        <v>1000.0</v>
      </c>
      <c r="AL13" s="15">
        <v>15.0</v>
      </c>
      <c r="AM13" s="18">
        <f t="array" ref="AM13">_xlfn.XLOOKUP($B13,'シート1'!$B$2:$B$70,'シート1'!$A$2:$A$70,"",0,1)</f>
        <v>30</v>
      </c>
      <c r="AN13" s="18" t="str">
        <f t="array" ref="AN13">_xlfn.XLOOKUP($B13,'シート1'!$B$2:$B$70,'シート1'!C$2:C$70,"",0,1)</f>
        <v>カジュアルバー</v>
      </c>
      <c r="AO13" s="19" t="str">
        <f t="array" ref="AO13">_xlfn.XLOOKUP($B13,'シート1'!$B$2:$B$70,'シート1'!D$2:D$70,"",0,1)</f>
        <v>https://www.instagram.com/bar_cococolor_taisho</v>
      </c>
      <c r="AP13" s="18" t="str">
        <f t="array" ref="AP13">_xlfn.XLOOKUP($B13,'シート1'!$B$2:$B$70,'シート1'!E$2:E$70,"",0,1)</f>
        <v>大阪市大正区三軒家西１丁目１６−１６</v>
      </c>
      <c r="AQ13" s="19" t="str">
        <f t="array" ref="AQ13">_xlfn.XLOOKUP($B13,'シート1'!$B$2:$B$70,'シート1'!F$2:F$70,"",0,1)</f>
        <v>https://maps.app.goo.gl/95uXqnFcfkMM8Jwo8</v>
      </c>
      <c r="AR13" s="20"/>
    </row>
    <row r="14" ht="22.5" customHeight="1">
      <c r="A14" s="14">
        <v>46304.76113125</v>
      </c>
      <c r="B14" s="15" t="s">
        <v>306</v>
      </c>
      <c r="C14" s="15" t="s">
        <v>90</v>
      </c>
      <c r="D14" s="15" t="s">
        <v>418</v>
      </c>
      <c r="E14" s="15" t="s">
        <v>238</v>
      </c>
      <c r="F14" s="15" t="s">
        <v>192</v>
      </c>
      <c r="G14" s="15" t="s">
        <v>239</v>
      </c>
      <c r="H14" s="15" t="s">
        <v>196</v>
      </c>
      <c r="I14" s="15" t="s">
        <v>243</v>
      </c>
      <c r="J14" s="17">
        <v>0.8125</v>
      </c>
      <c r="K14" s="17">
        <v>0.9930555555547471</v>
      </c>
      <c r="M14" s="15" t="s">
        <v>144</v>
      </c>
      <c r="N14" s="15" t="s">
        <v>104</v>
      </c>
      <c r="O14" s="15" t="s">
        <v>247</v>
      </c>
      <c r="AA14" s="15" t="s">
        <v>422</v>
      </c>
      <c r="AB14" s="15" t="s">
        <v>424</v>
      </c>
      <c r="AD14" s="15">
        <v>100.0</v>
      </c>
      <c r="AE14" s="15">
        <v>0.0</v>
      </c>
      <c r="AF14" s="15" t="s">
        <v>425</v>
      </c>
      <c r="AG14" s="15" t="s">
        <v>426</v>
      </c>
      <c r="AH14" s="15" t="s">
        <v>427</v>
      </c>
      <c r="AI14" s="15">
        <v>100.0</v>
      </c>
      <c r="AJ14" s="15">
        <v>0.0</v>
      </c>
      <c r="AL14" s="15">
        <v>20.0</v>
      </c>
      <c r="AM14" s="18">
        <f t="array" ref="AM14">_xlfn.XLOOKUP($B14,'シート1'!$B$2:$B$70,'シート1'!$A$2:$A$70,"",0,1)</f>
        <v>42</v>
      </c>
      <c r="AN14" s="18" t="str">
        <f t="array" ref="AN14">_xlfn.XLOOKUP($B14,'シート1'!$B$2:$B$70,'シート1'!C$2:C$70,"",0,1)</f>
        <v>生演奏で歌えるバー</v>
      </c>
      <c r="AO14" s="19" t="str">
        <f t="array" ref="AO14">_xlfn.XLOOKUP($B14,'シート1'!$B$2:$B$70,'シート1'!D$2:D$70,"",0,1)</f>
        <v>https://www.instagram.com/9kaino_omote</v>
      </c>
      <c r="AP14" s="18" t="str">
        <f t="array" ref="AP14">_xlfn.XLOOKUP($B14,'シート1'!$B$2:$B$70,'シート1'!E$2:E$70,"",0,1)</f>
        <v>大阪市大正区泉尾４丁目４−１</v>
      </c>
      <c r="AQ14" s="19" t="str">
        <f t="array" ref="AQ14">_xlfn.XLOOKUP($B14,'シート1'!$B$2:$B$70,'シート1'!F$2:F$70,"",0,1)</f>
        <v>https://maps.app.goo.gl/omY9WnpdAGAU7iFX6</v>
      </c>
      <c r="AR14" s="20"/>
    </row>
    <row r="15" ht="22.5" customHeight="1">
      <c r="A15" s="14">
        <v>46304.852581238425</v>
      </c>
      <c r="B15" s="15" t="s">
        <v>327</v>
      </c>
      <c r="C15" s="15" t="s">
        <v>90</v>
      </c>
      <c r="D15" s="15" t="s">
        <v>418</v>
      </c>
      <c r="E15" s="15" t="s">
        <v>428</v>
      </c>
      <c r="F15" s="15" t="s">
        <v>192</v>
      </c>
      <c r="G15" s="15" t="s">
        <v>429</v>
      </c>
      <c r="H15" s="15" t="s">
        <v>98</v>
      </c>
      <c r="I15" s="15" t="s">
        <v>430</v>
      </c>
      <c r="J15" s="17">
        <v>0.47916666666424135</v>
      </c>
      <c r="K15" s="17">
        <v>0.6458333333333334</v>
      </c>
      <c r="L15" s="15" t="s">
        <v>431</v>
      </c>
      <c r="M15" s="15" t="s">
        <v>170</v>
      </c>
      <c r="N15" s="15" t="s">
        <v>104</v>
      </c>
      <c r="O15" s="15" t="s">
        <v>247</v>
      </c>
      <c r="AA15" s="15" t="s">
        <v>432</v>
      </c>
      <c r="AB15" s="15" t="s">
        <v>433</v>
      </c>
      <c r="AD15" s="15">
        <v>800.0</v>
      </c>
      <c r="AF15" s="15" t="s">
        <v>434</v>
      </c>
      <c r="AG15" s="15" t="s">
        <v>435</v>
      </c>
      <c r="AH15" s="15" t="s">
        <v>436</v>
      </c>
      <c r="AI15" s="26">
        <v>1250.0</v>
      </c>
      <c r="AK15" s="15" t="s">
        <v>437</v>
      </c>
      <c r="AL15" s="15">
        <v>5.0</v>
      </c>
      <c r="AM15" s="18">
        <f t="array" ref="AM15">_xlfn.XLOOKUP($B15,'シート1'!$B$2:$B$70,'シート1'!$A$2:$A$70,"",0,1)</f>
        <v>45</v>
      </c>
      <c r="AN15" s="18" t="str">
        <f t="array" ref="AN15">_xlfn.XLOOKUP($B15,'シート1'!$B$2:$B$70,'シート1'!C$2:C$70,"",0,1)</f>
        <v>デートの行き先、カレー屋</v>
      </c>
      <c r="AO15" s="19" t="str">
        <f t="array" ref="AO15">_xlfn.XLOOKUP($B15,'シート1'!$B$2:$B$70,'シート1'!D$2:D$70,"",0,1)</f>
        <v>https://www.instagram.com/sheandcurry</v>
      </c>
      <c r="AP15" s="18" t="str">
        <f t="array" ref="AP15">_xlfn.XLOOKUP($B15,'シート1'!$B$2:$B$70,'シート1'!E$2:E$70,"",0,1)</f>
        <v>大阪市大正区泉尾１丁目３０−１５ 平本ビル</v>
      </c>
      <c r="AQ15" s="18" t="str">
        <f t="array" ref="AQ15">_xlfn.XLOOKUP($B15,'シート1'!$B$2:$B$70,'シート1'!F$2:F$70,"",0,1)</f>
        <v/>
      </c>
      <c r="AR15" s="31">
        <v>46417.0</v>
      </c>
    </row>
    <row r="16" ht="22.5" customHeight="1">
      <c r="A16" s="14">
        <v>46305.67339996528</v>
      </c>
      <c r="B16" s="15" t="s">
        <v>438</v>
      </c>
      <c r="C16" s="15" t="s">
        <v>90</v>
      </c>
      <c r="D16" s="15" t="s">
        <v>191</v>
      </c>
      <c r="E16" s="15" t="s">
        <v>368</v>
      </c>
      <c r="F16" s="15" t="s">
        <v>439</v>
      </c>
      <c r="G16" s="15" t="s">
        <v>97</v>
      </c>
      <c r="H16" s="15" t="s">
        <v>98</v>
      </c>
      <c r="I16" s="15" t="s">
        <v>440</v>
      </c>
      <c r="J16" s="17">
        <v>0.7083333333357587</v>
      </c>
      <c r="K16" s="17">
        <v>0.8958333333357587</v>
      </c>
      <c r="M16" s="15" t="s">
        <v>170</v>
      </c>
      <c r="N16" s="15" t="s">
        <v>277</v>
      </c>
      <c r="O16" s="15" t="s">
        <v>105</v>
      </c>
      <c r="P16" s="15" t="s">
        <v>441</v>
      </c>
      <c r="Q16" s="15" t="s">
        <v>442</v>
      </c>
      <c r="S16" s="15">
        <v>700.0</v>
      </c>
      <c r="AL16" s="15">
        <v>10.0</v>
      </c>
      <c r="AM16" s="18">
        <f t="array" ref="AM16">_xlfn.XLOOKUP($B16,'シート1'!$B$2:$B$70,'シート1'!$A$2:$A$70,"",0,1)</f>
        <v>34</v>
      </c>
      <c r="AN16" s="18" t="str">
        <f t="array" ref="AN16">_xlfn.XLOOKUP($B16,'シート1'!$B$2:$B$70,'シート1'!C$2:C$70,"",0,1)</f>
        <v>立ち飲み・ホルモン</v>
      </c>
      <c r="AO16" s="19" t="str">
        <f t="array" ref="AO16">_xlfn.XLOOKUP($B16,'シート1'!$B$2:$B$70,'シート1'!D$2:D$70,"",0,1)</f>
        <v>https://www.instagram.com/bbq.mou.29</v>
      </c>
      <c r="AP16" s="18" t="str">
        <f t="array" ref="AP16">_xlfn.XLOOKUP($B16,'シート1'!$B$2:$B$70,'シート1'!E$2:E$70,"",0,1)</f>
        <v>大阪市大正区三軒家東１丁目２−４</v>
      </c>
      <c r="AQ16" s="19" t="str">
        <f t="array" ref="AQ16">_xlfn.XLOOKUP($B16,'シート1'!$B$2:$B$70,'シート1'!F$2:F$70,"",0,1)</f>
        <v>https://maps.app.goo.gl/kCXY14AkjvY7xeAX8</v>
      </c>
      <c r="AR16" s="20"/>
    </row>
    <row r="17" ht="22.5" customHeight="1">
      <c r="A17" s="14">
        <v>46305.71587197916</v>
      </c>
      <c r="B17" s="15" t="s">
        <v>330</v>
      </c>
      <c r="C17" s="15" t="s">
        <v>90</v>
      </c>
      <c r="D17" s="15" t="s">
        <v>418</v>
      </c>
      <c r="E17" s="15" t="s">
        <v>333</v>
      </c>
      <c r="F17" s="15" t="s">
        <v>138</v>
      </c>
      <c r="G17" s="15" t="s">
        <v>139</v>
      </c>
      <c r="H17" s="15" t="s">
        <v>98</v>
      </c>
      <c r="I17" s="15" t="s">
        <v>443</v>
      </c>
      <c r="J17" s="17">
        <v>0.7708333333357587</v>
      </c>
      <c r="K17" s="17">
        <v>0.9166666666642413</v>
      </c>
      <c r="M17" s="15" t="s">
        <v>170</v>
      </c>
      <c r="N17" s="15" t="s">
        <v>104</v>
      </c>
      <c r="O17" s="15" t="s">
        <v>247</v>
      </c>
      <c r="AA17" s="15" t="s">
        <v>444</v>
      </c>
      <c r="AB17" s="15" t="s">
        <v>445</v>
      </c>
      <c r="AD17" s="15">
        <v>500.0</v>
      </c>
      <c r="AG17" s="15" t="s">
        <v>446</v>
      </c>
      <c r="AH17" s="15" t="s">
        <v>447</v>
      </c>
      <c r="AI17" s="15">
        <v>500.0</v>
      </c>
      <c r="AL17" s="15">
        <v>10.0</v>
      </c>
      <c r="AM17" s="18">
        <f t="array" ref="AM17">_xlfn.XLOOKUP($B17,'シート1'!$B$2:$B$70,'シート1'!$A$2:$A$70,"",0,1)</f>
        <v>46</v>
      </c>
      <c r="AN17" s="18" t="str">
        <f t="array" ref="AN17">_xlfn.XLOOKUP($B17,'シート1'!$B$2:$B$70,'シート1'!C$2:C$70,"",0,1)</f>
        <v>素朴な家庭料理</v>
      </c>
      <c r="AO17" s="19" t="str">
        <f t="array" ref="AO17">_xlfn.XLOOKUP($B17,'シート1'!$B$2:$B$70,'シート1'!D$2:D$70,"",0,1)</f>
        <v>https://www.instagram.com/syuugo_ma_0418</v>
      </c>
      <c r="AP17" s="18" t="str">
        <f t="array" ref="AP17">_xlfn.XLOOKUP($B17,'シート1'!$B$2:$B$70,'シート1'!E$2:E$70,"",0,1)</f>
        <v>大阪市大正区泉尾5丁目２－２</v>
      </c>
      <c r="AQ17" s="18" t="str">
        <f t="array" ref="AQ17">_xlfn.XLOOKUP($B17,'シート1'!$B$2:$B$70,'シート1'!F$2:F$70,"",0,1)</f>
        <v/>
      </c>
      <c r="AR17" s="20"/>
    </row>
    <row r="18" ht="22.5" customHeight="1">
      <c r="A18" s="14">
        <v>46305.73525341435</v>
      </c>
      <c r="B18" s="15" t="s">
        <v>402</v>
      </c>
      <c r="C18" s="15" t="s">
        <v>90</v>
      </c>
      <c r="D18" s="15" t="s">
        <v>448</v>
      </c>
      <c r="E18" s="15" t="s">
        <v>333</v>
      </c>
      <c r="F18" s="15" t="s">
        <v>192</v>
      </c>
      <c r="G18" s="15" t="s">
        <v>97</v>
      </c>
      <c r="H18" s="15" t="s">
        <v>98</v>
      </c>
      <c r="I18" s="15" t="s">
        <v>99</v>
      </c>
      <c r="J18" s="17">
        <v>0.7083333333357587</v>
      </c>
      <c r="K18" s="17">
        <v>0.875</v>
      </c>
      <c r="M18" s="15" t="s">
        <v>144</v>
      </c>
      <c r="N18" s="15" t="s">
        <v>277</v>
      </c>
      <c r="O18" s="15" t="s">
        <v>247</v>
      </c>
      <c r="AA18" s="15" t="s">
        <v>449</v>
      </c>
      <c r="AB18" s="15" t="s">
        <v>450</v>
      </c>
      <c r="AD18" s="15">
        <v>1000.0</v>
      </c>
      <c r="AG18" s="15" t="s">
        <v>451</v>
      </c>
      <c r="AH18" s="15" t="s">
        <v>452</v>
      </c>
      <c r="AI18" s="15">
        <v>100.0</v>
      </c>
      <c r="AL18" s="15">
        <v>10.0</v>
      </c>
      <c r="AM18" s="18">
        <f t="array" ref="AM18">_xlfn.XLOOKUP($B18,'シート1'!$B$2:$B$70,'シート1'!$A$2:$A$70,"",0,1)</f>
        <v>58</v>
      </c>
      <c r="AN18" s="18" t="str">
        <f t="array" ref="AN18">_xlfn.XLOOKUP($B18,'シート1'!$B$2:$B$70,'シート1'!C$2:C$70,"",0,1)</f>
        <v>おひとり様でもふらっと気軽に</v>
      </c>
      <c r="AO18" s="19" t="str">
        <f t="array" ref="AO18">_xlfn.XLOOKUP($B18,'シート1'!$B$2:$B$70,'シート1'!D$2:D$70,"",0,1)</f>
        <v>https://www.instagram.com/ippainomi.hana0806</v>
      </c>
      <c r="AP18" s="18" t="str">
        <f t="array" ref="AP18">_xlfn.XLOOKUP($B18,'シート1'!$B$2:$B$70,'シート1'!E$2:E$70,"",0,1)</f>
        <v>大阪市大正区千島3丁目4-7</v>
      </c>
      <c r="AQ18" s="19" t="str">
        <f t="array" ref="AQ18">_xlfn.XLOOKUP($B18,'シート1'!$B$2:$B$70,'シート1'!F$2:F$70,"",0,1)</f>
        <v>https://maps.app.goo.gl/qxCPY32XRzxQ52ni7</v>
      </c>
      <c r="AR18" s="20"/>
    </row>
    <row r="19" ht="22.5" customHeight="1">
      <c r="A19" s="14">
        <v>46305.85531787037</v>
      </c>
      <c r="B19" s="15" t="s">
        <v>288</v>
      </c>
      <c r="C19" s="15" t="s">
        <v>90</v>
      </c>
      <c r="D19" s="15" t="s">
        <v>136</v>
      </c>
      <c r="E19" s="15" t="s">
        <v>453</v>
      </c>
      <c r="F19" s="15" t="s">
        <v>192</v>
      </c>
      <c r="G19" s="15" t="s">
        <v>239</v>
      </c>
      <c r="H19" s="15" t="s">
        <v>196</v>
      </c>
      <c r="I19" s="15" t="s">
        <v>218</v>
      </c>
      <c r="J19" s="17">
        <v>0.8333333333357587</v>
      </c>
      <c r="K19" s="17">
        <v>0.9583333333357587</v>
      </c>
      <c r="M19" s="15" t="s">
        <v>335</v>
      </c>
      <c r="N19" s="15" t="s">
        <v>277</v>
      </c>
      <c r="O19" s="15" t="s">
        <v>454</v>
      </c>
      <c r="V19" s="15" t="s">
        <v>455</v>
      </c>
      <c r="W19" s="15" t="s">
        <v>456</v>
      </c>
      <c r="X19" s="15" t="s">
        <v>457</v>
      </c>
      <c r="Y19" s="15" t="s">
        <v>458</v>
      </c>
      <c r="AL19" s="15">
        <v>2.0</v>
      </c>
      <c r="AM19" s="18">
        <f t="array" ref="AM19">_xlfn.XLOOKUP($B19,'シート1'!$B$2:$B$70,'シート1'!$A$2:$A$70,"",0,1)</f>
        <v>38</v>
      </c>
      <c r="AN19" s="18" t="str">
        <f t="array" ref="AN19">_xlfn.XLOOKUP($B19,'シート1'!$B$2:$B$70,'シート1'!C$2:C$70,"",0,1)</f>
        <v>楽しく呑めて歌える憩いの場</v>
      </c>
      <c r="AO19" s="19" t="str">
        <f t="array" ref="AO19">_xlfn.XLOOKUP($B19,'シート1'!$B$2:$B$70,'シート1'!D$2:D$70,"",0,1)</f>
        <v>https://www.instagram.com/__2knme0703</v>
      </c>
      <c r="AP19" s="18" t="str">
        <f t="array" ref="AP19">_xlfn.XLOOKUP($B19,'シート1'!$B$2:$B$70,'シート1'!E$2:E$70,"",0,1)</f>
        <v>大阪市大正区三軒家西１丁目４−１６ベルコモンズ大正</v>
      </c>
      <c r="AQ19" s="18" t="str">
        <f t="array" ref="AQ19">_xlfn.XLOOKUP($B19,'シート1'!$B$2:$B$70,'シート1'!F$2:F$70,"",0,1)</f>
        <v/>
      </c>
      <c r="AR19" s="20"/>
    </row>
    <row r="20" ht="22.5" customHeight="1">
      <c r="A20" s="14">
        <v>46306.81166831018</v>
      </c>
      <c r="B20" s="15" t="s">
        <v>106</v>
      </c>
      <c r="C20" s="15" t="s">
        <v>459</v>
      </c>
      <c r="AM20" s="18">
        <f t="array" ref="AM20">_xlfn.XLOOKUP($B20,'シート1'!$B$2:$B$70,'シート1'!$A$2:$A$70,"",0,1)</f>
        <v>10</v>
      </c>
      <c r="AN20" s="18" t="str">
        <f t="array" ref="AN20">_xlfn.XLOOKUP($B20,'シート1'!$B$2:$B$70,'シート1'!C$2:C$70,"",0,1)</f>
        <v>創作料理居酒屋</v>
      </c>
      <c r="AO20" s="19" t="str">
        <f t="array" ref="AO20">_xlfn.XLOOKUP($B20,'シート1'!$B$2:$B$70,'シート1'!D$2:D$70,"",0,1)</f>
        <v>https://www.instagram.com/fujiwarakun_taisho</v>
      </c>
      <c r="AP20" s="18" t="str">
        <f t="array" ref="AP20">_xlfn.XLOOKUP($B20,'シート1'!$B$2:$B$70,'シート1'!E$2:E$70,"",0,1)</f>
        <v>大阪市大正区三軒家西１丁目１−７</v>
      </c>
      <c r="AQ20" s="19" t="str">
        <f t="array" ref="AQ20">_xlfn.XLOOKUP($B20,'シート1'!$B$2:$B$70,'シート1'!F$2:F$70,"",0,1)</f>
        <v>https://maps.app.goo.gl/svhsvpjHHy4Wfxv49</v>
      </c>
      <c r="AR20" s="20"/>
    </row>
    <row r="21" ht="22.5" customHeight="1">
      <c r="A21" s="14">
        <v>46309.79352489584</v>
      </c>
      <c r="B21" s="15" t="s">
        <v>180</v>
      </c>
      <c r="C21" s="15" t="s">
        <v>90</v>
      </c>
      <c r="D21" s="15" t="s">
        <v>136</v>
      </c>
      <c r="E21" s="15" t="s">
        <v>460</v>
      </c>
      <c r="F21" s="15" t="s">
        <v>138</v>
      </c>
      <c r="G21" s="15" t="s">
        <v>139</v>
      </c>
      <c r="H21" s="15" t="s">
        <v>98</v>
      </c>
      <c r="I21" s="15" t="s">
        <v>461</v>
      </c>
      <c r="J21" s="17">
        <v>0.7083333333357587</v>
      </c>
      <c r="K21" s="17">
        <v>0.9166666666642413</v>
      </c>
      <c r="M21" s="15" t="s">
        <v>170</v>
      </c>
      <c r="N21" s="15" t="s">
        <v>277</v>
      </c>
      <c r="O21" s="15" t="s">
        <v>105</v>
      </c>
      <c r="P21" s="15" t="s">
        <v>462</v>
      </c>
      <c r="Q21" s="15" t="s">
        <v>463</v>
      </c>
      <c r="R21" s="15" t="s">
        <v>464</v>
      </c>
      <c r="S21" s="15">
        <v>1000.0</v>
      </c>
      <c r="T21" s="15" t="s">
        <v>317</v>
      </c>
      <c r="U21" s="15" t="s">
        <v>317</v>
      </c>
      <c r="AL21" s="15">
        <v>5.0</v>
      </c>
      <c r="AM21" s="18">
        <f t="array" ref="AM21">_xlfn.XLOOKUP($B21,'シート1'!$B$2:$B$70,'シート1'!$A$2:$A$70,"",0,1)</f>
        <v>21</v>
      </c>
      <c r="AN21" s="18" t="str">
        <f t="array" ref="AN21">_xlfn.XLOOKUP($B21,'シート1'!$B$2:$B$70,'シート1'!C$2:C$70,"",0,1)</f>
        <v>お好み・焼きそば・鉄板居酒屋</v>
      </c>
      <c r="AO21" s="19" t="str">
        <f t="array" ref="AO21">_xlfn.XLOOKUP($B21,'シート1'!$B$2:$B$70,'シート1'!D$2:D$70,"",0,1)</f>
        <v>https://www.instagram.com/teppanyaki_eihachi</v>
      </c>
      <c r="AP21" s="18" t="str">
        <f t="array" ref="AP21">_xlfn.XLOOKUP($B21,'シート1'!$B$2:$B$70,'シート1'!E$2:E$70,"",0,1)</f>
        <v>大阪市大正区三軒家西１丁目６−３</v>
      </c>
      <c r="AQ21" s="19" t="str">
        <f t="array" ref="AQ21">_xlfn.XLOOKUP($B21,'シート1'!$B$2:$B$70,'シート1'!F$2:F$70,"",0,1)</f>
        <v>https://maps.app.goo.gl/SgdnoFYhwHF52vjd8</v>
      </c>
      <c r="AR21" s="20"/>
    </row>
    <row r="22" ht="22.5" customHeight="1">
      <c r="A22" s="14">
        <v>46310.973587430555</v>
      </c>
      <c r="B22" s="15" t="s">
        <v>267</v>
      </c>
      <c r="C22" s="15" t="s">
        <v>90</v>
      </c>
      <c r="D22" s="15" t="s">
        <v>191</v>
      </c>
      <c r="E22" s="15" t="s">
        <v>465</v>
      </c>
      <c r="F22" s="15" t="s">
        <v>138</v>
      </c>
      <c r="G22" s="15" t="s">
        <v>97</v>
      </c>
      <c r="H22" s="15" t="s">
        <v>98</v>
      </c>
      <c r="I22" s="15" t="s">
        <v>466</v>
      </c>
      <c r="J22" s="17">
        <v>0.47916666666424135</v>
      </c>
      <c r="K22" s="17">
        <v>0.0</v>
      </c>
      <c r="L22" s="15" t="s">
        <v>467</v>
      </c>
      <c r="M22" s="15" t="s">
        <v>468</v>
      </c>
      <c r="N22" s="15" t="s">
        <v>104</v>
      </c>
      <c r="O22" s="15" t="s">
        <v>105</v>
      </c>
      <c r="P22" s="15" t="s">
        <v>469</v>
      </c>
      <c r="Q22" s="15" t="s">
        <v>470</v>
      </c>
      <c r="S22" s="15">
        <v>1000.0</v>
      </c>
      <c r="U22" s="15">
        <v>30.0</v>
      </c>
      <c r="AL22" s="15">
        <v>10.0</v>
      </c>
      <c r="AM22" s="18">
        <f t="array" ref="AM22">_xlfn.XLOOKUP($B22,'シート1'!$B$2:$B$70,'シート1'!$A$2:$A$70,"",0,1)</f>
        <v>32</v>
      </c>
      <c r="AN22" s="18" t="str">
        <f t="array" ref="AN22">_xlfn.XLOOKUP($B22,'シート1'!$B$2:$B$70,'シート1'!C$2:C$70,"",0,1)</f>
        <v>イタリアン・メキシカン・アメリカン</v>
      </c>
      <c r="AO22" s="19" t="str">
        <f t="array" ref="AO22">_xlfn.XLOOKUP($B22,'シート1'!$B$2:$B$70,'シート1'!D$2:D$70,"",0,1)</f>
        <v>https://www.instagram.com/tms_diner_osaka</v>
      </c>
      <c r="AP22" s="18" t="str">
        <f t="array" ref="AP22">_xlfn.XLOOKUP($B22,'シート1'!$B$2:$B$70,'シート1'!E$2:E$70,"",0,1)</f>
        <v>大阪市大正区三軒家東１丁目２−５ 2F</v>
      </c>
      <c r="AQ22" s="19" t="str">
        <f t="array" ref="AQ22">_xlfn.XLOOKUP($B22,'シート1'!$B$2:$B$70,'シート1'!F$2:F$70,"",0,1)</f>
        <v>https://maps.app.goo.gl/qM8P7SU6UqcARZm29</v>
      </c>
      <c r="AR22" s="20"/>
    </row>
    <row r="23" ht="22.5" customHeight="1">
      <c r="A23" s="14">
        <v>46312.58616018519</v>
      </c>
      <c r="B23" s="15" t="s">
        <v>378</v>
      </c>
      <c r="C23" s="15" t="s">
        <v>90</v>
      </c>
      <c r="D23" s="15" t="s">
        <v>471</v>
      </c>
      <c r="E23" s="15" t="s">
        <v>238</v>
      </c>
      <c r="F23" s="15" t="s">
        <v>138</v>
      </c>
      <c r="G23" s="15" t="s">
        <v>239</v>
      </c>
      <c r="H23" s="15" t="s">
        <v>196</v>
      </c>
      <c r="I23" s="15" t="s">
        <v>168</v>
      </c>
      <c r="J23" s="17">
        <v>0.7916666666642413</v>
      </c>
      <c r="K23" s="17">
        <v>0.0</v>
      </c>
      <c r="L23" s="15" t="s">
        <v>472</v>
      </c>
      <c r="M23" s="15" t="s">
        <v>335</v>
      </c>
      <c r="N23" s="15" t="s">
        <v>104</v>
      </c>
      <c r="O23" s="15" t="s">
        <v>454</v>
      </c>
      <c r="V23" s="15" t="s">
        <v>473</v>
      </c>
      <c r="W23" s="15" t="s">
        <v>474</v>
      </c>
      <c r="X23" s="15">
        <v>100.0</v>
      </c>
      <c r="Y23" s="15" t="s">
        <v>475</v>
      </c>
      <c r="AL23" s="15">
        <v>10.0</v>
      </c>
      <c r="AM23" s="18">
        <f t="array" ref="AM23">_xlfn.XLOOKUP($B23,'シート1'!$B$2:$B$70,'シート1'!$A$2:$A$70,"",0,1)</f>
        <v>53</v>
      </c>
      <c r="AN23" s="18" t="str">
        <f t="array" ref="AN23">_xlfn.XLOOKUP($B23,'シート1'!$B$2:$B$70,'シート1'!C$2:C$70,"",0,1)</f>
        <v>アットホームなカラオケBAR</v>
      </c>
      <c r="AO23" s="19" t="str">
        <f t="array" ref="AO23">_xlfn.XLOOKUP($B23,'シート1'!$B$2:$B$70,'シート1'!D$2:D$70,"",0,1)</f>
        <v>https://www.instagram.com/3piece_osake</v>
      </c>
      <c r="AP23" s="18" t="str">
        <f t="array" ref="AP23">_xlfn.XLOOKUP($B23,'シート1'!$B$2:$B$70,'シート1'!E$2:E$70,"",0,1)</f>
        <v>大阪市大正区南恩加島６丁目７−８</v>
      </c>
      <c r="AQ23" s="19" t="str">
        <f t="array" ref="AQ23">_xlfn.XLOOKUP($B23,'シート1'!$B$2:$B$70,'シート1'!F$2:F$70,"",0,1)</f>
        <v>https://maps.app.goo.gl/67gvLqPdoESWNqod7</v>
      </c>
      <c r="AR23" s="20"/>
    </row>
    <row r="24" ht="22.5" customHeight="1">
      <c r="A24" s="14">
        <v>46315.68812100694</v>
      </c>
      <c r="B24" s="15" t="s">
        <v>94</v>
      </c>
      <c r="C24" s="15" t="s">
        <v>90</v>
      </c>
      <c r="D24" s="15" t="s">
        <v>136</v>
      </c>
      <c r="E24" s="15" t="s">
        <v>476</v>
      </c>
      <c r="F24" s="15" t="s">
        <v>138</v>
      </c>
      <c r="G24" s="15" t="s">
        <v>139</v>
      </c>
      <c r="H24" s="15" t="s">
        <v>196</v>
      </c>
      <c r="I24" s="15" t="s">
        <v>477</v>
      </c>
      <c r="J24" s="17">
        <v>0.7291666666642413</v>
      </c>
      <c r="K24" s="17">
        <v>0.9583333333357587</v>
      </c>
      <c r="M24" s="15" t="s">
        <v>478</v>
      </c>
      <c r="N24" s="15" t="s">
        <v>277</v>
      </c>
      <c r="O24" s="15" t="s">
        <v>105</v>
      </c>
      <c r="P24" s="15" t="s">
        <v>441</v>
      </c>
      <c r="Q24" s="15" t="s">
        <v>479</v>
      </c>
      <c r="R24" s="15" t="s">
        <v>480</v>
      </c>
      <c r="S24" s="15">
        <v>1100.0</v>
      </c>
      <c r="T24" s="15" t="s">
        <v>317</v>
      </c>
      <c r="U24" s="15" t="s">
        <v>317</v>
      </c>
      <c r="AL24" s="15">
        <v>10.0</v>
      </c>
      <c r="AM24" s="18">
        <f t="array" ref="AM24">_xlfn.XLOOKUP($B24,'シート1'!$B$2:$B$70,'シート1'!$A$2:$A$70,"",0,1)</f>
        <v>9</v>
      </c>
      <c r="AN24" s="18" t="str">
        <f t="array" ref="AN24">_xlfn.XLOOKUP($B24,'シート1'!$B$2:$B$70,'シート1'!C$2:C$70,"",0,1)</f>
        <v>焼き鳥・お出汁料理</v>
      </c>
      <c r="AO24" s="19" t="str">
        <f t="array" ref="AO24">_xlfn.XLOOKUP($B24,'シート1'!$B$2:$B$70,'シート1'!D$2:D$70,"",0,1)</f>
        <v>https://www.instagram.com/chabo_taisho</v>
      </c>
      <c r="AP24" s="18" t="str">
        <f t="array" ref="AP24">_xlfn.XLOOKUP($B24,'シート1'!$B$2:$B$70,'シート1'!E$2:E$70,"",0,1)</f>
        <v>大阪市大正区三軒家東１丁目１７−１６</v>
      </c>
      <c r="AQ24" s="19" t="str">
        <f t="array" ref="AQ24">_xlfn.XLOOKUP($B24,'シート1'!$B$2:$B$70,'シート1'!F$2:F$70,"",0,1)</f>
        <v>https://maps.app.goo.gl/a9AcRcjV9q895Jeo6</v>
      </c>
      <c r="AR24" s="20"/>
    </row>
    <row r="25" ht="22.5" customHeight="1">
      <c r="A25" s="14">
        <v>46315.72136438657</v>
      </c>
      <c r="B25" s="15" t="s">
        <v>322</v>
      </c>
      <c r="C25" s="15" t="s">
        <v>90</v>
      </c>
      <c r="D25" s="15" t="s">
        <v>418</v>
      </c>
      <c r="E25" s="15" t="s">
        <v>481</v>
      </c>
      <c r="F25" s="15" t="s">
        <v>138</v>
      </c>
      <c r="G25" s="15" t="s">
        <v>139</v>
      </c>
      <c r="H25" s="15" t="s">
        <v>196</v>
      </c>
      <c r="I25" s="15" t="s">
        <v>218</v>
      </c>
      <c r="J25" s="17">
        <v>0.7083333333357587</v>
      </c>
      <c r="K25" s="17">
        <v>0.41666666666424135</v>
      </c>
      <c r="M25" s="15" t="s">
        <v>335</v>
      </c>
      <c r="N25" s="15" t="s">
        <v>104</v>
      </c>
      <c r="O25" s="15" t="s">
        <v>247</v>
      </c>
      <c r="AA25" s="15" t="s">
        <v>482</v>
      </c>
      <c r="AB25" s="15" t="s">
        <v>483</v>
      </c>
      <c r="AC25" s="15" t="s">
        <v>484</v>
      </c>
      <c r="AD25" s="15">
        <v>1000.0</v>
      </c>
      <c r="AE25" s="15">
        <v>0.0</v>
      </c>
      <c r="AF25" s="15" t="s">
        <v>485</v>
      </c>
      <c r="AG25" s="15" t="s">
        <v>486</v>
      </c>
      <c r="AH25" s="15" t="s">
        <v>486</v>
      </c>
      <c r="AI25" s="15" t="s">
        <v>486</v>
      </c>
      <c r="AJ25" s="15" t="s">
        <v>486</v>
      </c>
      <c r="AK25" s="15" t="s">
        <v>486</v>
      </c>
      <c r="AL25" s="15">
        <v>10.0</v>
      </c>
      <c r="AM25" s="18">
        <f t="array" ref="AM25">_xlfn.XLOOKUP($B25,'シート1'!$B$2:$B$70,'シート1'!$A$2:$A$70,"",0,1)</f>
        <v>44</v>
      </c>
      <c r="AN25" s="18" t="str">
        <f t="array" ref="AN25">_xlfn.XLOOKUP($B25,'シート1'!$B$2:$B$70,'シート1'!C$2:C$70,"",0,1)</f>
        <v>変態植物倶楽部の店</v>
      </c>
      <c r="AO25" s="19" t="str">
        <f t="array" ref="AO25">_xlfn.XLOOKUP($B25,'シート1'!$B$2:$B$70,'シート1'!D$2:D$70,"",0,1)</f>
        <v>https://www.instagram.com/pureko.yakisoba___</v>
      </c>
      <c r="AP25" s="18" t="str">
        <f t="array" ref="AP25">_xlfn.XLOOKUP($B25,'シート1'!$B$2:$B$70,'シート1'!E$2:E$70,"",0,1)</f>
        <v>大阪市大正区泉尾１丁目２２−１２</v>
      </c>
      <c r="AQ25" s="19" t="str">
        <f t="array" ref="AQ25">_xlfn.XLOOKUP($B25,'シート1'!$B$2:$B$70,'シート1'!F$2:F$70,"",0,1)</f>
        <v>https://maps.app.goo.gl/7LxwLtzxhZXxzxw59</v>
      </c>
      <c r="AR25" s="20"/>
    </row>
    <row r="26" ht="22.5" customHeight="1">
      <c r="A26" s="14">
        <v>46315.925904918986</v>
      </c>
      <c r="B26" s="15" t="s">
        <v>296</v>
      </c>
      <c r="C26" s="15" t="s">
        <v>90</v>
      </c>
      <c r="D26" s="15" t="s">
        <v>418</v>
      </c>
      <c r="E26" s="15" t="s">
        <v>238</v>
      </c>
      <c r="F26" s="15" t="s">
        <v>192</v>
      </c>
      <c r="G26" s="15" t="s">
        <v>164</v>
      </c>
      <c r="H26" s="15" t="s">
        <v>196</v>
      </c>
      <c r="I26" s="15" t="s">
        <v>487</v>
      </c>
      <c r="J26" s="17">
        <v>0.7916666666642413</v>
      </c>
      <c r="K26" s="17">
        <v>0.08333333333575865</v>
      </c>
      <c r="L26" s="15" t="s">
        <v>488</v>
      </c>
      <c r="M26" s="15" t="s">
        <v>170</v>
      </c>
      <c r="N26" s="15" t="s">
        <v>277</v>
      </c>
      <c r="O26" s="15" t="s">
        <v>105</v>
      </c>
      <c r="P26" s="15" t="s">
        <v>489</v>
      </c>
      <c r="Q26" s="15" t="s">
        <v>490</v>
      </c>
      <c r="R26" s="15" t="s">
        <v>491</v>
      </c>
      <c r="S26" s="15">
        <v>1000.0</v>
      </c>
      <c r="AL26" s="15">
        <v>5.0</v>
      </c>
      <c r="AM26" s="18">
        <f t="array" ref="AM26">_xlfn.XLOOKUP($B26,'シート1'!$B$2:$B$70,'シート1'!$A$2:$A$70,"",0,1)</f>
        <v>40</v>
      </c>
      <c r="AN26" s="18" t="str">
        <f t="array" ref="AN26">_xlfn.XLOOKUP($B26,'シート1'!$B$2:$B$70,'シート1'!C$2:C$70,"",0,1)</f>
        <v>お酒&amp;カルチャー発信場所</v>
      </c>
      <c r="AO26" s="19" t="str">
        <f t="array" ref="AO26">_xlfn.XLOOKUP($B26,'シート1'!$B$2:$B$70,'シート1'!D$2:D$70,"",0,1)</f>
        <v>https://www.instagram.com/bar_edit_osaka</v>
      </c>
      <c r="AP26" s="18" t="str">
        <f t="array" ref="AP26">_xlfn.XLOOKUP($B26,'シート1'!$B$2:$B$70,'シート1'!E$2:E$70,"",0,1)</f>
        <v>大阪市大正区泉尾１丁目３０−１５ 平本ビル</v>
      </c>
      <c r="AQ26" s="19" t="str">
        <f t="array" ref="AQ26">_xlfn.XLOOKUP($B26,'シート1'!$B$2:$B$70,'シート1'!F$2:F$70,"",0,1)</f>
        <v>https://maps.app.goo.gl/o8GMyay7XvnYpEwk7</v>
      </c>
      <c r="AR26" s="20"/>
    </row>
    <row r="27" ht="22.5" customHeight="1">
      <c r="A27" s="14">
        <v>46317.309877824075</v>
      </c>
      <c r="B27" s="15" t="s">
        <v>272</v>
      </c>
      <c r="C27" s="15" t="s">
        <v>90</v>
      </c>
      <c r="D27" s="15" t="s">
        <v>492</v>
      </c>
      <c r="E27" s="15" t="s">
        <v>493</v>
      </c>
      <c r="F27" s="15" t="s">
        <v>138</v>
      </c>
      <c r="G27" s="15" t="s">
        <v>139</v>
      </c>
      <c r="H27" s="15" t="s">
        <v>196</v>
      </c>
      <c r="I27" s="15" t="s">
        <v>218</v>
      </c>
      <c r="J27" s="17">
        <v>0.7083333333357587</v>
      </c>
      <c r="K27" s="17">
        <v>0.875</v>
      </c>
      <c r="M27" s="15" t="s">
        <v>335</v>
      </c>
      <c r="N27" s="15" t="s">
        <v>277</v>
      </c>
      <c r="O27" s="15" t="s">
        <v>105</v>
      </c>
      <c r="P27" s="15" t="s">
        <v>494</v>
      </c>
      <c r="Q27" s="15" t="s">
        <v>495</v>
      </c>
      <c r="R27" s="15" t="s">
        <v>496</v>
      </c>
      <c r="S27" s="15">
        <v>1000.0</v>
      </c>
      <c r="T27" s="15" t="s">
        <v>317</v>
      </c>
      <c r="U27" s="15" t="s">
        <v>497</v>
      </c>
      <c r="AL27" s="15">
        <v>10.0</v>
      </c>
      <c r="AM27" s="18">
        <f t="array" ref="AM27">_xlfn.XLOOKUP($B27,'シート1'!$B$2:$B$70,'シート1'!$A$2:$A$70,"",0,1)</f>
        <v>33</v>
      </c>
      <c r="AN27" s="18" t="str">
        <f t="array" ref="AN27">_xlfn.XLOOKUP($B27,'シート1'!$B$2:$B$70,'シート1'!C$2:C$70,"",0,1)</f>
        <v>本格ピッツァ・ドイツワイン</v>
      </c>
      <c r="AO27" s="19" t="str">
        <f t="array" ref="AO27">_xlfn.XLOOKUP($B27,'シート1'!$B$2:$B$70,'シート1'!D$2:D$70,"",0,1)</f>
        <v>https://www.instagram.com/pizzerialegare</v>
      </c>
      <c r="AP27" s="18" t="str">
        <f t="array" ref="AP27">_xlfn.XLOOKUP($B27,'シート1'!$B$2:$B$70,'シート1'!E$2:E$70,"",0,1)</f>
        <v>大阪市大正区平尾５丁目１２−１６</v>
      </c>
      <c r="AQ27" s="19" t="str">
        <f t="array" ref="AQ27">_xlfn.XLOOKUP($B27,'シート1'!$B$2:$B$70,'シート1'!F$2:F$70,"",0,1)</f>
        <v>https://maps.app.goo.gl/e85zQpDRWme5xsyr6</v>
      </c>
      <c r="AR27" s="20"/>
    </row>
    <row r="28" ht="22.5" customHeight="1">
      <c r="A28" s="14">
        <v>46317.74932800926</v>
      </c>
      <c r="B28" s="15" t="s">
        <v>262</v>
      </c>
      <c r="C28" s="15" t="s">
        <v>90</v>
      </c>
      <c r="D28" s="15" t="s">
        <v>191</v>
      </c>
      <c r="E28" s="15" t="s">
        <v>141</v>
      </c>
      <c r="F28" s="15" t="s">
        <v>138</v>
      </c>
      <c r="G28" s="15" t="s">
        <v>139</v>
      </c>
      <c r="H28" s="15" t="s">
        <v>98</v>
      </c>
      <c r="I28" s="15" t="s">
        <v>243</v>
      </c>
      <c r="J28" s="17">
        <v>0.7083333333357587</v>
      </c>
      <c r="K28" s="17">
        <v>0.9583333333357587</v>
      </c>
      <c r="M28" s="15" t="s">
        <v>335</v>
      </c>
      <c r="N28" s="15" t="s">
        <v>277</v>
      </c>
      <c r="O28" s="15" t="s">
        <v>105</v>
      </c>
      <c r="P28" s="15" t="s">
        <v>498</v>
      </c>
      <c r="Q28" s="15" t="s">
        <v>499</v>
      </c>
      <c r="S28" s="15">
        <v>1000.0</v>
      </c>
      <c r="AL28" s="15">
        <v>5.0</v>
      </c>
      <c r="AM28" s="18">
        <f t="array" ref="AM28">_xlfn.XLOOKUP($B28,'シート1'!$B$2:$B$70,'シート1'!$A$2:$A$70,"",0,1)</f>
        <v>31</v>
      </c>
      <c r="AN28" s="18" t="str">
        <f t="array" ref="AN28">_xlfn.XLOOKUP($B28,'シート1'!$B$2:$B$70,'シート1'!C$2:C$70,"",0,1)</f>
        <v>作りたいもん作りまっせ居酒屋</v>
      </c>
      <c r="AO28" s="19" t="str">
        <f t="array" ref="AO28">_xlfn.XLOOKUP($B28,'シート1'!$B$2:$B$70,'シート1'!D$2:D$70,"",0,1)</f>
        <v>https://www.instagram.com/fuku__nchu</v>
      </c>
      <c r="AP28" s="18" t="str">
        <f t="array" ref="AP28">_xlfn.XLOOKUP($B28,'シート1'!$B$2:$B$70,'シート1'!E$2:E$70,"",0,1)</f>
        <v>大阪市大正区三軒家東１丁目１６−２６</v>
      </c>
      <c r="AQ28" s="19" t="str">
        <f t="array" ref="AQ28">_xlfn.XLOOKUP($B28,'シート1'!$B$2:$B$70,'シート1'!F$2:F$70,"",0,1)</f>
        <v>https://maps.app.goo.gl/PB2QxJm3seTe8PFH6</v>
      </c>
      <c r="AR28" s="20"/>
    </row>
    <row r="29" ht="22.5" customHeight="1">
      <c r="A29" s="14">
        <v>46319.57836493055</v>
      </c>
      <c r="B29" s="15" t="s">
        <v>154</v>
      </c>
      <c r="C29" s="15" t="s">
        <v>90</v>
      </c>
      <c r="D29" s="15" t="s">
        <v>136</v>
      </c>
      <c r="E29" s="15" t="s">
        <v>238</v>
      </c>
      <c r="F29" s="15" t="s">
        <v>138</v>
      </c>
      <c r="G29" s="15" t="s">
        <v>164</v>
      </c>
      <c r="H29" s="15" t="s">
        <v>196</v>
      </c>
      <c r="I29" s="15" t="s">
        <v>243</v>
      </c>
      <c r="J29" s="17">
        <v>0.7916666666642413</v>
      </c>
      <c r="K29" s="17">
        <v>0.125</v>
      </c>
      <c r="M29" s="15" t="s">
        <v>335</v>
      </c>
      <c r="N29" s="15" t="s">
        <v>277</v>
      </c>
      <c r="O29" s="15" t="s">
        <v>247</v>
      </c>
      <c r="AA29" s="15" t="s">
        <v>500</v>
      </c>
      <c r="AB29" s="15" t="s">
        <v>501</v>
      </c>
      <c r="AC29" s="15" t="s">
        <v>502</v>
      </c>
      <c r="AD29" s="15">
        <v>1000.0</v>
      </c>
      <c r="AE29" s="15">
        <v>660.0</v>
      </c>
      <c r="AG29" s="15" t="s">
        <v>503</v>
      </c>
      <c r="AH29" s="15" t="s">
        <v>504</v>
      </c>
      <c r="AI29" s="15">
        <v>0.0</v>
      </c>
      <c r="AJ29" s="15">
        <v>0.0</v>
      </c>
      <c r="AL29" s="15">
        <v>10.0</v>
      </c>
      <c r="AM29" s="18">
        <f t="array" ref="AM29">_xlfn.XLOOKUP($B29,'シート1'!$B$2:$B$70,'シート1'!$A$2:$A$70,"",0,1)</f>
        <v>17</v>
      </c>
      <c r="AN29" s="18" t="str">
        <f t="array" ref="AN29">_xlfn.XLOOKUP($B29,'シート1'!$B$2:$B$70,'シート1'!C$2:C$70,"",0,1)</f>
        <v>隠れ家バー</v>
      </c>
      <c r="AO29" s="19" t="str">
        <f t="array" ref="AO29">_xlfn.XLOOKUP($B29,'シート1'!$B$2:$B$70,'シート1'!D$2:D$70,"",0,1)</f>
        <v>https://www.instagram.com/Neboke_bar</v>
      </c>
      <c r="AP29" s="18" t="str">
        <f t="array" ref="AP29">_xlfn.XLOOKUP($B29,'シート1'!$B$2:$B$70,'シート1'!E$2:E$70,"",0,1)</f>
        <v>大阪市大正区三軒家西１丁目５−７</v>
      </c>
      <c r="AQ29" s="19" t="str">
        <f t="array" ref="AQ29">_xlfn.XLOOKUP($B29,'シート1'!$B$2:$B$70,'シート1'!F$2:F$70,"",0,1)</f>
        <v>https://maps.app.goo.gl/WiS8rFbF993DeBHp9</v>
      </c>
      <c r="AR29" s="20"/>
    </row>
    <row r="30" ht="22.5" customHeight="1">
      <c r="A30" s="14">
        <v>46320.740183761576</v>
      </c>
      <c r="B30" s="15" t="s">
        <v>228</v>
      </c>
      <c r="C30" s="15" t="s">
        <v>90</v>
      </c>
      <c r="D30" s="15" t="s">
        <v>191</v>
      </c>
      <c r="E30" s="15" t="s">
        <v>333</v>
      </c>
      <c r="F30" s="15" t="s">
        <v>138</v>
      </c>
      <c r="G30" s="15" t="s">
        <v>239</v>
      </c>
      <c r="H30" s="15" t="s">
        <v>196</v>
      </c>
      <c r="I30" s="15" t="s">
        <v>243</v>
      </c>
      <c r="J30" s="17">
        <v>0.7916666666642413</v>
      </c>
      <c r="K30" s="17">
        <v>0.08333333333575865</v>
      </c>
      <c r="M30" s="15" t="s">
        <v>170</v>
      </c>
      <c r="N30" s="15" t="s">
        <v>104</v>
      </c>
      <c r="O30" s="15" t="s">
        <v>105</v>
      </c>
      <c r="P30" s="15" t="s">
        <v>505</v>
      </c>
      <c r="Q30" s="15" t="s">
        <v>505</v>
      </c>
      <c r="S30" s="15">
        <v>1000.0</v>
      </c>
      <c r="T30" s="15">
        <v>0.0</v>
      </c>
      <c r="U30" s="15" t="s">
        <v>506</v>
      </c>
      <c r="AL30" s="15">
        <v>10.0</v>
      </c>
      <c r="AM30" s="18">
        <f t="array" ref="AM30">_xlfn.XLOOKUP($B30,'シート1'!$B$2:$B$70,'シート1'!$A$2:$A$70,"",0,1)</f>
        <v>28</v>
      </c>
      <c r="AN30" s="18" t="str">
        <f t="array" ref="AN30">_xlfn.XLOOKUP($B30,'シート1'!$B$2:$B$70,'シート1'!C$2:C$70,"",0,1)</f>
        <v>沖縄料理・カラオケ居酒屋</v>
      </c>
      <c r="AO30" s="19" t="str">
        <f t="array" ref="AO30">_xlfn.XLOOKUP($B30,'シート1'!$B$2:$B$70,'シート1'!D$2:D$70,"",0,1)</f>
        <v>https://www.instagram.com/za.okinawa</v>
      </c>
      <c r="AP30" s="18" t="str">
        <f t="array" ref="AP30">_xlfn.XLOOKUP($B30,'シート1'!$B$2:$B$70,'シート1'!E$2:E$70,"",0,1)</f>
        <v>大阪市大正区三軒家東１丁目５−１０</v>
      </c>
      <c r="AQ30" s="19" t="str">
        <f t="array" ref="AQ30">_xlfn.XLOOKUP($B30,'シート1'!$B$2:$B$70,'シート1'!F$2:F$70,"",0,1)</f>
        <v>https://maps.app.goo.gl/Prnu5oBX6hyQzpft6</v>
      </c>
      <c r="AR30" s="20"/>
    </row>
    <row r="31" ht="22.5" customHeight="1">
      <c r="A31" s="14">
        <v>46320.84019307871</v>
      </c>
      <c r="B31" s="15" t="s">
        <v>386</v>
      </c>
      <c r="C31" s="15" t="s">
        <v>90</v>
      </c>
      <c r="D31" s="15" t="s">
        <v>507</v>
      </c>
      <c r="E31" s="15" t="s">
        <v>508</v>
      </c>
      <c r="F31" s="15" t="s">
        <v>138</v>
      </c>
      <c r="G31" s="15" t="s">
        <v>139</v>
      </c>
      <c r="H31" s="15" t="s">
        <v>98</v>
      </c>
      <c r="I31" s="15" t="s">
        <v>509</v>
      </c>
      <c r="J31" s="17">
        <v>0.45833333333575865</v>
      </c>
      <c r="K31" s="17">
        <v>0.8333333333357587</v>
      </c>
      <c r="L31" s="15" t="s">
        <v>510</v>
      </c>
      <c r="M31" s="15" t="s">
        <v>170</v>
      </c>
      <c r="N31" s="15" t="s">
        <v>104</v>
      </c>
      <c r="O31" s="15" t="s">
        <v>105</v>
      </c>
      <c r="P31" s="15" t="s">
        <v>441</v>
      </c>
      <c r="Q31" s="15" t="s">
        <v>511</v>
      </c>
      <c r="R31" s="15" t="s">
        <v>512</v>
      </c>
      <c r="S31" s="15">
        <v>500.0</v>
      </c>
      <c r="T31" s="15">
        <v>0.0</v>
      </c>
      <c r="U31" s="15" t="s">
        <v>513</v>
      </c>
      <c r="AL31" s="15">
        <v>10.0</v>
      </c>
      <c r="AM31" s="18">
        <f t="array" ref="AM31">_xlfn.XLOOKUP($B31,'シート1'!$B$2:$B$70,'シート1'!$A$2:$A$70,"",0,1)</f>
        <v>54</v>
      </c>
      <c r="AN31" s="18" t="str">
        <f t="array" ref="AN31">_xlfn.XLOOKUP($B31,'シート1'!$B$2:$B$70,'シート1'!C$2:C$70,"",0,1)</f>
        <v>一品もあって呑める店</v>
      </c>
      <c r="AO31" s="19" t="str">
        <f t="array" ref="AO31">_xlfn.XLOOKUP($B31,'シート1'!$B$2:$B$70,'シート1'!D$2:D$70,"",0,1)</f>
        <v>https://www.instagram.com/so__suya</v>
      </c>
      <c r="AP31" s="18" t="str">
        <f t="array" ref="AP31">_xlfn.XLOOKUP($B31,'シート1'!$B$2:$B$70,'シート1'!E$2:E$70,"",0,1)</f>
        <v>大阪市大正区鶴町３丁目９−８</v>
      </c>
      <c r="AQ31" s="19" t="str">
        <f t="array" ref="AQ31">_xlfn.XLOOKUP($B31,'シート1'!$B$2:$B$70,'シート1'!F$2:F$70,"",0,1)</f>
        <v>https://maps.app.goo.gl/xJwhZ9ZwW7z19PcK6</v>
      </c>
      <c r="AR31" s="20"/>
    </row>
    <row r="32" ht="22.5" customHeight="1">
      <c r="A32" s="14">
        <v>46321.73421747686</v>
      </c>
      <c r="B32" s="15" t="s">
        <v>350</v>
      </c>
      <c r="C32" s="15" t="s">
        <v>90</v>
      </c>
      <c r="D32" s="15" t="s">
        <v>448</v>
      </c>
      <c r="E32" s="15" t="s">
        <v>333</v>
      </c>
      <c r="F32" s="15" t="s">
        <v>138</v>
      </c>
      <c r="G32" s="15" t="s">
        <v>97</v>
      </c>
      <c r="H32" s="15" t="s">
        <v>196</v>
      </c>
      <c r="I32" s="15" t="s">
        <v>243</v>
      </c>
      <c r="J32" s="17">
        <v>0.6666666666642413</v>
      </c>
      <c r="K32" s="17">
        <v>0.9583333333357587</v>
      </c>
      <c r="L32" s="15" t="s">
        <v>514</v>
      </c>
      <c r="M32" s="15" t="s">
        <v>170</v>
      </c>
      <c r="N32" s="15" t="s">
        <v>277</v>
      </c>
      <c r="O32" s="15" t="s">
        <v>105</v>
      </c>
      <c r="P32" s="15" t="s">
        <v>515</v>
      </c>
      <c r="Q32" s="15" t="s">
        <v>516</v>
      </c>
      <c r="R32" s="15" t="s">
        <v>517</v>
      </c>
      <c r="S32" s="15">
        <v>1000.0</v>
      </c>
      <c r="T32" s="15">
        <v>0.0</v>
      </c>
      <c r="U32" s="15" t="s">
        <v>518</v>
      </c>
      <c r="AL32" s="15">
        <v>5.0</v>
      </c>
      <c r="AM32" s="18">
        <f t="array" ref="AM32">_xlfn.XLOOKUP($B32,'シート1'!$B$2:$B$70,'シート1'!$A$2:$A$70,"",0,1)</f>
        <v>49</v>
      </c>
      <c r="AN32" s="18" t="str">
        <f t="array" ref="AN32">_xlfn.XLOOKUP($B32,'シート1'!$B$2:$B$70,'シート1'!C$2:C$70,"",0,1)</f>
        <v>安くて美味い変な魚屋さん</v>
      </c>
      <c r="AO32" s="19" t="str">
        <f t="array" ref="AO32">_xlfn.XLOOKUP($B32,'シート1'!$B$2:$B$70,'シート1'!D$2:D$70,"",0,1)</f>
        <v>https://www.instagram.com/kukai_izakaya_</v>
      </c>
      <c r="AP32" s="18" t="str">
        <f t="array" ref="AP32">_xlfn.XLOOKUP($B32,'シート1'!$B$2:$B$70,'シート1'!E$2:E$70,"",0,1)</f>
        <v>大阪市大正区千島３丁目３−１２ シティハイツ大正</v>
      </c>
      <c r="AQ32" s="19" t="str">
        <f t="array" ref="AQ32">_xlfn.XLOOKUP($B32,'シート1'!$B$2:$B$70,'シート1'!F$2:F$70,"",0,1)</f>
        <v>https://maps.app.goo.gl/2SUDVhYEkfnGQu8q9</v>
      </c>
      <c r="AR32" s="20"/>
    </row>
    <row r="33" ht="22.5" customHeight="1">
      <c r="A33" s="14">
        <v>46321.845829756945</v>
      </c>
      <c r="B33" s="32" t="s">
        <v>419</v>
      </c>
      <c r="C33" s="15" t="s">
        <v>90</v>
      </c>
      <c r="D33" s="15" t="s">
        <v>91</v>
      </c>
      <c r="E33" s="15" t="s">
        <v>333</v>
      </c>
      <c r="F33" s="15" t="s">
        <v>138</v>
      </c>
      <c r="G33" s="15" t="s">
        <v>139</v>
      </c>
      <c r="H33" s="15" t="s">
        <v>98</v>
      </c>
      <c r="I33" s="15" t="s">
        <v>519</v>
      </c>
      <c r="J33" s="17">
        <v>0.6666666666642413</v>
      </c>
      <c r="K33" s="17">
        <v>0.9166666666642413</v>
      </c>
      <c r="M33" s="15" t="s">
        <v>170</v>
      </c>
      <c r="N33" s="15" t="s">
        <v>104</v>
      </c>
      <c r="O33" s="15" t="s">
        <v>105</v>
      </c>
      <c r="P33" s="15" t="s">
        <v>520</v>
      </c>
      <c r="Q33" s="15" t="s">
        <v>521</v>
      </c>
      <c r="R33" s="15" t="s">
        <v>522</v>
      </c>
      <c r="S33" s="15">
        <v>1000.0</v>
      </c>
      <c r="U33" s="15" t="s">
        <v>523</v>
      </c>
      <c r="AL33" s="15">
        <v>10.0</v>
      </c>
      <c r="AM33" s="18">
        <f t="array" ref="AM33">_xlfn.XLOOKUP($B33,'シート1'!$B$2:$B$70,'シート1'!$A$2:$A$70,"",0,1)</f>
        <v>57</v>
      </c>
      <c r="AN33" s="18" t="str">
        <f t="array" ref="AN33">_xlfn.XLOOKUP($B33,'シート1'!$B$2:$B$70,'シート1'!C$2:C$70,"",0,1)</f>
        <v>1949年創業の老舗酒場</v>
      </c>
      <c r="AO33" s="19" t="str">
        <f t="array" ref="AO33">_xlfn.XLOOKUP($B33,'シート1'!$B$2:$B$70,'シート1'!D$2:D$70,"",0,1)</f>
        <v>https://www.instagram.com/kurasuno0.2</v>
      </c>
      <c r="AP33" s="18" t="str">
        <f t="array" ref="AP33">_xlfn.XLOOKUP($B33,'シート1'!$B$2:$B$70,'シート1'!E$2:E$70,"",0,1)</f>
        <v>大阪市大正区三軒家東１丁目３−１１</v>
      </c>
      <c r="AQ33" s="19" t="str">
        <f t="array" ref="AQ33">_xlfn.XLOOKUP($B33,'シート1'!$B$2:$B$70,'シート1'!F$2:F$70,"",0,1)</f>
        <v>https://maps.app.goo.gl/LGRvgFisDgQDWBtZ9</v>
      </c>
      <c r="AR33" s="20"/>
    </row>
    <row r="34" ht="22.5" customHeight="1">
      <c r="A34" s="14">
        <v>46322.6507309375</v>
      </c>
      <c r="B34" s="15" t="s">
        <v>232</v>
      </c>
      <c r="C34" s="15" t="s">
        <v>90</v>
      </c>
      <c r="D34" s="15" t="s">
        <v>418</v>
      </c>
      <c r="E34" s="15" t="s">
        <v>163</v>
      </c>
      <c r="F34" s="15" t="s">
        <v>192</v>
      </c>
      <c r="G34" s="15" t="s">
        <v>164</v>
      </c>
      <c r="H34" s="15" t="s">
        <v>98</v>
      </c>
      <c r="I34" s="15" t="s">
        <v>524</v>
      </c>
      <c r="J34" s="17">
        <v>0.41666666666424135</v>
      </c>
      <c r="K34" s="17">
        <v>0.7083333333357587</v>
      </c>
      <c r="L34" s="15" t="s">
        <v>525</v>
      </c>
      <c r="M34" s="15" t="s">
        <v>335</v>
      </c>
      <c r="N34" s="15" t="s">
        <v>277</v>
      </c>
      <c r="O34" s="15" t="s">
        <v>105</v>
      </c>
      <c r="P34" s="15" t="s">
        <v>526</v>
      </c>
      <c r="Q34" s="15" t="s">
        <v>527</v>
      </c>
      <c r="R34" s="15" t="s">
        <v>528</v>
      </c>
      <c r="S34" s="15">
        <v>600.0</v>
      </c>
      <c r="U34" s="15">
        <v>10.0</v>
      </c>
      <c r="AL34" s="15">
        <v>10.0</v>
      </c>
      <c r="AM34" s="33">
        <f t="array" ref="AM34">_xlfn.XLOOKUP($B34,'シート1'!$B$2:$B$70,'シート1'!$A$2:$A$70,"",0,1)</f>
        <v>35</v>
      </c>
      <c r="AN34" s="33" t="str">
        <f t="array" ref="AN34">_xlfn.XLOOKUP($B34,'シート1'!$B$2:$B$70,'シート1'!C$2:C$70,"",0,1)</f>
        <v>ホットサンド・カフェバー</v>
      </c>
      <c r="AO34" s="34" t="str">
        <f t="array" ref="AO34">_xlfn.XLOOKUP($B34,'シート1'!$B$2:$B$70,'シート1'!D$2:D$70,"",0,1)</f>
        <v>https://www.instagram.com/cafe.bar.nona9</v>
      </c>
      <c r="AP34" s="33" t="str">
        <f t="array" ref="AP34">_xlfn.XLOOKUP($B34,'シート1'!$B$2:$B$70,'シート1'!E$2:E$70,"",0,1)</f>
        <v>大阪市大正区泉尾２丁目１１−９</v>
      </c>
      <c r="AQ34" s="34" t="str">
        <f t="array" ref="AQ34">_xlfn.XLOOKUP($B34,'シート1'!$B$2:$B$70,'シート1'!F$2:F$70,"",0,1)</f>
        <v>https://maps.app.goo.gl/hsSrRGzYZdxe5zo27</v>
      </c>
      <c r="AR34" s="35"/>
    </row>
    <row r="35" ht="22.5" customHeight="1">
      <c r="A35" s="14">
        <v>46322.65702467592</v>
      </c>
      <c r="B35" s="15" t="s">
        <v>58</v>
      </c>
      <c r="C35" s="15" t="s">
        <v>90</v>
      </c>
      <c r="D35" s="15" t="s">
        <v>91</v>
      </c>
      <c r="E35" s="15" t="s">
        <v>238</v>
      </c>
      <c r="F35" s="15" t="s">
        <v>192</v>
      </c>
      <c r="G35" s="15" t="s">
        <v>239</v>
      </c>
      <c r="H35" s="15" t="s">
        <v>196</v>
      </c>
      <c r="I35" s="15" t="s">
        <v>529</v>
      </c>
      <c r="J35" s="17">
        <v>0.8333333333333334</v>
      </c>
      <c r="K35" s="17">
        <v>0.20833333333575865</v>
      </c>
      <c r="M35" s="15" t="s">
        <v>530</v>
      </c>
      <c r="N35" s="15" t="s">
        <v>277</v>
      </c>
      <c r="O35" s="15" t="s">
        <v>247</v>
      </c>
      <c r="AA35" s="15" t="s">
        <v>531</v>
      </c>
      <c r="AB35" s="15" t="s">
        <v>532</v>
      </c>
      <c r="AD35" s="15" t="s">
        <v>533</v>
      </c>
      <c r="AE35" s="15" t="s">
        <v>317</v>
      </c>
      <c r="AG35" s="15" t="s">
        <v>534</v>
      </c>
      <c r="AH35" s="15" t="s">
        <v>535</v>
      </c>
      <c r="AI35" s="15" t="s">
        <v>317</v>
      </c>
      <c r="AJ35" s="15" t="s">
        <v>317</v>
      </c>
      <c r="AL35" s="15">
        <v>10.0</v>
      </c>
      <c r="AM35" s="33">
        <f t="array" ref="AM35">_xlfn.XLOOKUP($B35,'シート1'!$B$2:$B$70,'シート1'!$A$2:$A$70,"",0,1)</f>
        <v>7</v>
      </c>
      <c r="AN35" s="33" t="str">
        <f t="array" ref="AN35">_xlfn.XLOOKUP($B35,'シート1'!$B$2:$B$70,'シート1'!C$2:C$70,"",0,1)</f>
        <v>ダーツ・カラオケ</v>
      </c>
      <c r="AO35" s="34" t="str">
        <f t="array" ref="AO35">_xlfn.XLOOKUP($B35,'シート1'!$B$2:$B$70,'シート1'!D$2:D$70,"",0,1)</f>
        <v>https://www.instagram.com/bar_ks_taisho</v>
      </c>
      <c r="AP35" s="33" t="str">
        <f t="array" ref="AP35">_xlfn.XLOOKUP($B35,'シート1'!$B$2:$B$70,'シート1'!E$2:E$70,"",0,1)</f>
        <v>大阪市大正区三軒家西１丁目４−１６ベルコモンズ大正2D</v>
      </c>
      <c r="AQ35" s="34" t="str">
        <f t="array" ref="AQ35">_xlfn.XLOOKUP($B35,'シート1'!$B$2:$B$70,'シート1'!F$2:F$70,"",0,1)</f>
        <v>https://maps.app.goo.gl/h1iC1PzMoU3TmyDg9</v>
      </c>
      <c r="AR35" s="35"/>
    </row>
    <row r="36" ht="22.5" customHeight="1">
      <c r="A36" s="14">
        <v>46322.929370185186</v>
      </c>
      <c r="B36" s="15" t="s">
        <v>175</v>
      </c>
      <c r="C36" s="15" t="s">
        <v>90</v>
      </c>
      <c r="D36" s="15" t="s">
        <v>136</v>
      </c>
      <c r="E36" s="15" t="s">
        <v>333</v>
      </c>
      <c r="F36" s="15" t="s">
        <v>192</v>
      </c>
      <c r="G36" s="15" t="s">
        <v>97</v>
      </c>
      <c r="H36" s="15" t="s">
        <v>196</v>
      </c>
      <c r="I36" s="15" t="s">
        <v>529</v>
      </c>
      <c r="J36" s="17">
        <v>0.45833333333575865</v>
      </c>
      <c r="K36" s="17">
        <v>0.8958333333357587</v>
      </c>
      <c r="M36" s="15" t="s">
        <v>170</v>
      </c>
      <c r="N36" s="15" t="s">
        <v>277</v>
      </c>
      <c r="O36" s="15" t="s">
        <v>105</v>
      </c>
      <c r="P36" s="15" t="s">
        <v>536</v>
      </c>
      <c r="Q36" s="15" t="s">
        <v>537</v>
      </c>
      <c r="R36" s="15" t="s">
        <v>538</v>
      </c>
      <c r="S36" s="15">
        <v>500.0</v>
      </c>
      <c r="AL36" s="15">
        <v>5.0</v>
      </c>
      <c r="AM36" s="33">
        <f t="array" ref="AM36">_xlfn.XLOOKUP($B36,'シート1'!$B$2:$B$70,'シート1'!$A$2:$A$70,"",0,1)</f>
        <v>20</v>
      </c>
      <c r="AN36" s="33" t="str">
        <f t="array" ref="AN36">_xlfn.XLOOKUP($B36,'シート1'!$B$2:$B$70,'シート1'!C$2:C$70,"",0,1)</f>
        <v>駅前で昼から飲める店</v>
      </c>
      <c r="AO36" s="34" t="str">
        <f t="array" ref="AO36">_xlfn.XLOOKUP($B36,'シート1'!$B$2:$B$70,'シート1'!D$2:D$70,"",0,1)</f>
        <v>https://www.instagram.com/tarochan_taisho</v>
      </c>
      <c r="AP36" s="33" t="str">
        <f t="array" ref="AP36">_xlfn.XLOOKUP($B36,'シート1'!$B$2:$B$70,'シート1'!E$2:E$70,"",0,1)</f>
        <v>大阪市大正区三軒家東１丁目２−６</v>
      </c>
      <c r="AQ36" s="34" t="str">
        <f t="array" ref="AQ36">_xlfn.XLOOKUP($B36,'シート1'!$B$2:$B$70,'シート1'!F$2:F$70,"",0,1)</f>
        <v>https://maps.app.goo.gl/P1ytbeyLANs4TgD19</v>
      </c>
      <c r="AR36" s="35"/>
    </row>
    <row r="37" ht="22.5" customHeight="1">
      <c r="A37" s="14">
        <v>46323.51886788194</v>
      </c>
      <c r="B37" s="15" t="s">
        <v>343</v>
      </c>
      <c r="C37" s="15" t="s">
        <v>90</v>
      </c>
      <c r="D37" s="15" t="s">
        <v>191</v>
      </c>
      <c r="E37" s="15" t="s">
        <v>368</v>
      </c>
      <c r="F37" s="15" t="s">
        <v>138</v>
      </c>
      <c r="G37" s="15" t="s">
        <v>139</v>
      </c>
      <c r="H37" s="15" t="s">
        <v>196</v>
      </c>
      <c r="I37" s="15" t="s">
        <v>243</v>
      </c>
      <c r="J37" s="17">
        <v>0.7083333333357587</v>
      </c>
      <c r="K37" s="17">
        <v>0.9166666666642413</v>
      </c>
      <c r="M37" s="15" t="s">
        <v>335</v>
      </c>
      <c r="N37" s="15" t="s">
        <v>277</v>
      </c>
      <c r="O37" s="15" t="s">
        <v>105</v>
      </c>
      <c r="P37" s="15" t="s">
        <v>539</v>
      </c>
      <c r="Q37" s="15" t="s">
        <v>540</v>
      </c>
      <c r="S37" s="15">
        <v>1500.0</v>
      </c>
      <c r="AL37" s="15">
        <v>0.0</v>
      </c>
      <c r="AM37" s="33">
        <f t="array" ref="AM37">_xlfn.XLOOKUP($B37,'シート1'!$B$2:$B$70,'シート1'!$A$2:$A$70,"",0,1)</f>
        <v>48</v>
      </c>
      <c r="AN37" s="33" t="str">
        <f t="array" ref="AN37">_xlfn.XLOOKUP($B37,'シート1'!$B$2:$B$70,'シート1'!C$2:C$70,"",0,1)</f>
        <v>国産牛新鮮ホルモン焼</v>
      </c>
      <c r="AO37" s="34" t="str">
        <f t="array" ref="AO37">_xlfn.XLOOKUP($B37,'シート1'!$B$2:$B$70,'シート1'!D$2:D$70,"",0,1)</f>
        <v>https://www.instagram.com/horumonyaki_miyake</v>
      </c>
      <c r="AP37" s="33" t="str">
        <f t="array" ref="AP37">_xlfn.XLOOKUP($B37,'シート1'!$B$2:$B$70,'シート1'!E$2:E$70,"",0,1)</f>
        <v>大阪市大正区三軒家東１丁目１０−２２ 1階</v>
      </c>
      <c r="AQ37" s="34" t="str">
        <f t="array" ref="AQ37">_xlfn.XLOOKUP($B37,'シート1'!$B$2:$B$70,'シート1'!F$2:F$70,"",0,1)</f>
        <v>https://maps.app.goo.gl/vtyUhfcTtNvREszDA</v>
      </c>
      <c r="AR37" s="35"/>
    </row>
    <row r="38" ht="22.5" customHeight="1">
      <c r="A38" s="14">
        <v>46323.66400121528</v>
      </c>
      <c r="B38" s="15" t="s">
        <v>358</v>
      </c>
      <c r="C38" s="15" t="s">
        <v>90</v>
      </c>
      <c r="D38" s="15" t="s">
        <v>448</v>
      </c>
      <c r="E38" s="15" t="s">
        <v>541</v>
      </c>
      <c r="F38" s="15" t="s">
        <v>138</v>
      </c>
      <c r="G38" s="15" t="s">
        <v>97</v>
      </c>
      <c r="H38" s="15" t="s">
        <v>98</v>
      </c>
      <c r="I38" s="15" t="s">
        <v>542</v>
      </c>
      <c r="J38" s="17">
        <v>0.33333333333575865</v>
      </c>
      <c r="K38" s="17">
        <v>0.7083333333357587</v>
      </c>
      <c r="M38" s="15" t="s">
        <v>144</v>
      </c>
      <c r="N38" s="15" t="s">
        <v>277</v>
      </c>
      <c r="O38" s="15" t="s">
        <v>105</v>
      </c>
      <c r="P38" s="15" t="s">
        <v>543</v>
      </c>
      <c r="Q38" s="15" t="s">
        <v>544</v>
      </c>
      <c r="S38" s="15">
        <v>1000.0</v>
      </c>
      <c r="T38" s="15">
        <v>0.0</v>
      </c>
      <c r="U38" s="15" t="s">
        <v>545</v>
      </c>
      <c r="AL38" s="15">
        <v>10.0</v>
      </c>
      <c r="AM38" s="33">
        <f t="array" ref="AM38">_xlfn.XLOOKUP($B38,'シート1'!$B$2:$B$70,'シート1'!$A$2:$A$70,"",0,1)</f>
        <v>50</v>
      </c>
      <c r="AN38" s="33" t="str">
        <f t="array" ref="AN38">_xlfn.XLOOKUP($B38,'シート1'!$B$2:$B$70,'シート1'!C$2:C$70,"",0,1)</f>
        <v>大正アメリンカンダイナー</v>
      </c>
      <c r="AO38" s="34" t="str">
        <f t="array" ref="AO38">_xlfn.XLOOKUP($B38,'シート1'!$B$2:$B$70,'シート1'!D$2:D$70,"",0,1)</f>
        <v>https://www.instagram.com/zakkys_hotdog</v>
      </c>
      <c r="AP38" s="33" t="str">
        <f t="array" ref="AP38">_xlfn.XLOOKUP($B38,'シート1'!$B$2:$B$70,'シート1'!E$2:E$70,"",0,1)</f>
        <v>大阪市大正区千島３丁目１２−１３ ハイグレード千島</v>
      </c>
      <c r="AQ38" s="34" t="str">
        <f t="array" ref="AQ38">_xlfn.XLOOKUP($B38,'シート1'!$B$2:$B$70,'シート1'!F$2:F$70,"",0,1)</f>
        <v>https://maps.app.goo.gl/UVjYbt57Dy43WcJN9</v>
      </c>
      <c r="AR38" s="35"/>
    </row>
    <row r="39" ht="22.5" customHeight="1">
      <c r="A39" s="14">
        <v>46324.028849270835</v>
      </c>
      <c r="B39" s="15" t="s">
        <v>369</v>
      </c>
      <c r="C39" s="15" t="s">
        <v>90</v>
      </c>
      <c r="D39" s="15" t="s">
        <v>191</v>
      </c>
      <c r="E39" s="15" t="s">
        <v>92</v>
      </c>
      <c r="F39" s="15" t="s">
        <v>192</v>
      </c>
      <c r="G39" s="15" t="s">
        <v>164</v>
      </c>
      <c r="H39" s="15" t="s">
        <v>196</v>
      </c>
      <c r="I39" s="15" t="s">
        <v>546</v>
      </c>
      <c r="J39" s="17">
        <v>0.7916666666666666</v>
      </c>
      <c r="K39" s="17">
        <v>0.0</v>
      </c>
      <c r="L39" s="15" t="s">
        <v>547</v>
      </c>
      <c r="M39" s="15" t="s">
        <v>170</v>
      </c>
      <c r="N39" s="15" t="s">
        <v>104</v>
      </c>
      <c r="O39" s="15" t="s">
        <v>105</v>
      </c>
      <c r="P39" s="15" t="s">
        <v>548</v>
      </c>
      <c r="Q39" s="15" t="s">
        <v>549</v>
      </c>
      <c r="S39" s="15">
        <v>800.0</v>
      </c>
      <c r="T39" s="15">
        <v>0.0</v>
      </c>
      <c r="U39" s="15" t="s">
        <v>550</v>
      </c>
      <c r="AL39" s="15">
        <v>5.0</v>
      </c>
      <c r="AM39" s="33">
        <f t="array" ref="AM39">_xlfn.XLOOKUP($B39,'シート1'!$B$2:$B$70,'シート1'!$A$2:$A$70,"",0,1)</f>
        <v>52</v>
      </c>
      <c r="AN39" s="33" t="str">
        <f t="array" ref="AN39">_xlfn.XLOOKUP($B39,'シート1'!$B$2:$B$70,'シート1'!C$2:C$70,"",0,1)</f>
        <v>ただいま！と言えるおばんざい処</v>
      </c>
      <c r="AO39" s="34" t="str">
        <f t="array" ref="AO39">_xlfn.XLOOKUP($B39,'シート1'!$B$2:$B$70,'シート1'!D$2:D$70,"",0,1)</f>
        <v>https://www.instagram.com/nagondeyaaa</v>
      </c>
      <c r="AP39" s="33" t="str">
        <f t="array" ref="AP39">_xlfn.XLOOKUP($B39,'シート1'!$B$2:$B$70,'シート1'!E$2:E$70,"",0,1)</f>
        <v>大阪市大正区三軒家東１丁目２１−１５</v>
      </c>
      <c r="AQ39" s="34" t="str">
        <f t="array" ref="AQ39">_xlfn.XLOOKUP($B39,'シート1'!$B$2:$B$70,'シート1'!F$2:F$70,"",0,1)</f>
        <v>https://maps.app.goo.gl/mPWGsU2dZAaAkywP9</v>
      </c>
      <c r="AR39" s="35"/>
    </row>
    <row r="40" ht="22.5" customHeight="1">
      <c r="A40" s="14">
        <v>46324.70472929398</v>
      </c>
      <c r="B40" s="15" t="s">
        <v>292</v>
      </c>
      <c r="C40" s="15" t="s">
        <v>90</v>
      </c>
      <c r="D40" s="15" t="s">
        <v>136</v>
      </c>
      <c r="E40" s="15" t="s">
        <v>453</v>
      </c>
      <c r="F40" s="15" t="s">
        <v>138</v>
      </c>
      <c r="G40" s="15" t="s">
        <v>164</v>
      </c>
      <c r="H40" s="15" t="s">
        <v>196</v>
      </c>
      <c r="I40" s="15" t="s">
        <v>99</v>
      </c>
      <c r="J40" s="17">
        <v>0.20833333333575865</v>
      </c>
      <c r="K40" s="17">
        <v>0.0</v>
      </c>
      <c r="L40" s="15" t="s">
        <v>551</v>
      </c>
      <c r="M40" s="15" t="s">
        <v>170</v>
      </c>
      <c r="N40" s="15" t="s">
        <v>277</v>
      </c>
      <c r="O40" s="15" t="s">
        <v>105</v>
      </c>
      <c r="P40" s="15" t="s">
        <v>552</v>
      </c>
      <c r="Q40" s="15" t="s">
        <v>553</v>
      </c>
      <c r="S40" s="15" t="s">
        <v>554</v>
      </c>
      <c r="T40" s="15" t="s">
        <v>555</v>
      </c>
      <c r="U40" s="15" t="s">
        <v>485</v>
      </c>
      <c r="AL40" s="15">
        <v>5.0</v>
      </c>
      <c r="AM40" s="33">
        <f t="array" ref="AM40">_xlfn.XLOOKUP($B40,'シート1'!$B$2:$B$70,'シート1'!$A$2:$A$70,"",0,1)</f>
        <v>39</v>
      </c>
      <c r="AN40" s="33" t="str">
        <f t="array" ref="AN40">_xlfn.XLOOKUP($B40,'シート1'!$B$2:$B$70,'シート1'!C$2:C$70,"",0,1)</f>
        <v>日曜日、祝日もやってまーす！</v>
      </c>
      <c r="AO40" s="34" t="str">
        <f t="array" ref="AO40">_xlfn.XLOOKUP($B40,'シート1'!$B$2:$B$70,'シート1'!D$2:D$70,"",0,1)</f>
        <v>https://www.instagram.com/fine.r11123</v>
      </c>
      <c r="AP40" s="33" t="str">
        <f t="array" ref="AP40">_xlfn.XLOOKUP($B40,'シート1'!$B$2:$B$70,'シート1'!E$2:E$70,"",0,1)</f>
        <v>大阪市大正区三軒家東1-2-6 サンコークリスタル701</v>
      </c>
      <c r="AQ40" s="33" t="str">
        <f t="array" ref="AQ40">_xlfn.XLOOKUP($B40,'シート1'!$B$2:$B$70,'シート1'!F$2:F$70,"",0,1)</f>
        <v/>
      </c>
    </row>
    <row r="41" ht="22.5" customHeight="1">
      <c r="A41" s="14">
        <v>46324.87570386574</v>
      </c>
      <c r="B41" s="15" t="s">
        <v>193</v>
      </c>
      <c r="C41" s="15" t="s">
        <v>90</v>
      </c>
      <c r="D41" s="15" t="s">
        <v>91</v>
      </c>
      <c r="E41" s="15" t="s">
        <v>368</v>
      </c>
      <c r="F41" s="15" t="s">
        <v>138</v>
      </c>
      <c r="G41" s="15" t="s">
        <v>139</v>
      </c>
      <c r="H41" s="15" t="s">
        <v>98</v>
      </c>
      <c r="I41" s="15" t="s">
        <v>440</v>
      </c>
      <c r="J41" s="17">
        <v>0.7083333333357587</v>
      </c>
      <c r="K41" s="17">
        <v>0.9166666666642413</v>
      </c>
      <c r="M41" s="15" t="s">
        <v>335</v>
      </c>
      <c r="N41" s="15" t="s">
        <v>277</v>
      </c>
      <c r="O41" s="15" t="s">
        <v>105</v>
      </c>
      <c r="P41" s="15" t="s">
        <v>556</v>
      </c>
      <c r="Q41" s="15" t="s">
        <v>557</v>
      </c>
      <c r="R41" s="15" t="s">
        <v>558</v>
      </c>
      <c r="S41" s="15">
        <v>1000.0</v>
      </c>
      <c r="T41" s="15">
        <v>0.0</v>
      </c>
      <c r="U41" s="15">
        <v>20.0</v>
      </c>
      <c r="AL41" s="15">
        <v>5.0</v>
      </c>
      <c r="AM41" s="33">
        <f t="array" ref="AM41">_xlfn.XLOOKUP($B41,'シート1'!$B$2:$B$70,'シート1'!$A$2:$A$70,"",0,1)</f>
        <v>23</v>
      </c>
      <c r="AN41" s="33" t="str">
        <f t="array" ref="AN41">_xlfn.XLOOKUP($B41,'シート1'!$B$2:$B$70,'シート1'!C$2:C$70,"",0,1)</f>
        <v>焼肉ホルモン・韓国料理</v>
      </c>
      <c r="AO41" s="34" t="str">
        <f t="array" ref="AO41">_xlfn.XLOOKUP($B41,'シート1'!$B$2:$B$70,'シート1'!D$2:D$70,"",0,1)</f>
        <v>https://www.instagram.com/yakiniku.k2plus</v>
      </c>
      <c r="AP41" s="33" t="str">
        <f t="array" ref="AP41">_xlfn.XLOOKUP($B41,'シート1'!$B$2:$B$70,'シート1'!E$2:E$70,"",0,1)</f>
        <v>大阪市大正区三軒家西１丁目９−３６</v>
      </c>
      <c r="AQ41" s="34" t="str">
        <f t="array" ref="AQ41">_xlfn.XLOOKUP($B41,'シート1'!$B$2:$B$70,'シート1'!F$2:F$70,"",0,1)</f>
        <v>https://maps.app.goo.gl/9Wt44gRpXPDoTt1q9</v>
      </c>
    </row>
    <row r="42" ht="22.5" customHeight="1">
      <c r="A42" s="14">
        <v>46322.65702467592</v>
      </c>
      <c r="B42" s="15" t="s">
        <v>204</v>
      </c>
      <c r="C42" s="15" t="s">
        <v>90</v>
      </c>
      <c r="D42" s="15" t="s">
        <v>136</v>
      </c>
      <c r="E42" s="15" t="s">
        <v>333</v>
      </c>
      <c r="F42" s="15" t="s">
        <v>192</v>
      </c>
      <c r="G42" s="15" t="s">
        <v>239</v>
      </c>
      <c r="H42" s="15" t="s">
        <v>196</v>
      </c>
      <c r="J42" s="17"/>
      <c r="K42" s="17"/>
      <c r="N42" s="15" t="s">
        <v>277</v>
      </c>
      <c r="O42" s="15" t="s">
        <v>105</v>
      </c>
      <c r="P42" s="15" t="s">
        <v>355</v>
      </c>
      <c r="AM42" s="33">
        <f t="array" ref="AM42">_xlfn.XLOOKUP($B42,'シート1'!$B$2:$B$70,'シート1'!$A$2:$A$70,"",0,1)</f>
        <v>24</v>
      </c>
      <c r="AN42" s="33" t="str">
        <f t="array" ref="AN42">_xlfn.XLOOKUP($B42,'シート1'!$B$2:$B$70,'シート1'!C$2:C$70,"",0,1)</f>
        <v>カラオケ居酒屋</v>
      </c>
      <c r="AO42" s="34" t="str">
        <f t="array" ref="AO42">_xlfn.XLOOKUP($B42,'シート1'!$B$2:$B$70,'シート1'!D$2:D$70,"",0,1)</f>
        <v>https://www.instagram.com/moon.3.3.3</v>
      </c>
      <c r="AP42" s="33" t="str">
        <f t="array" ref="AP42">_xlfn.XLOOKUP($B42,'シート1'!$B$2:$B$70,'シート1'!E$2:E$70,"",0,1)</f>
        <v>大阪市大正区三軒家東１丁目４−８</v>
      </c>
      <c r="AQ42" s="33" t="str">
        <f t="array" ref="AQ42">_xlfn.XLOOKUP($B42,'シート1'!$B$2:$B$70,'シート1'!F$2:F$70,"",0,1)</f>
        <v/>
      </c>
      <c r="AR42" s="35"/>
    </row>
    <row r="43">
      <c r="AR43" s="36"/>
    </row>
    <row r="44">
      <c r="AR44" s="36"/>
    </row>
    <row r="45">
      <c r="AR45" s="36"/>
    </row>
    <row r="46">
      <c r="AR46" s="36"/>
    </row>
    <row r="47">
      <c r="AR47" s="36"/>
    </row>
    <row r="48">
      <c r="AR48" s="36"/>
    </row>
    <row r="49">
      <c r="AR49" s="36"/>
    </row>
    <row r="50">
      <c r="AR50" s="36"/>
    </row>
    <row r="51">
      <c r="AR51" s="36"/>
    </row>
    <row r="52">
      <c r="AR52" s="36"/>
    </row>
    <row r="53">
      <c r="AR53" s="36"/>
    </row>
    <row r="54">
      <c r="AR54" s="36"/>
    </row>
    <row r="55">
      <c r="AR55" s="36"/>
    </row>
    <row r="56">
      <c r="AR56" s="36"/>
    </row>
    <row r="57">
      <c r="AR57" s="36"/>
    </row>
    <row r="58">
      <c r="AR58" s="36"/>
    </row>
    <row r="59">
      <c r="AR59" s="36"/>
    </row>
    <row r="60">
      <c r="AR60" s="36"/>
    </row>
    <row r="61">
      <c r="AR61" s="36"/>
    </row>
    <row r="62">
      <c r="AR62" s="36"/>
    </row>
    <row r="63">
      <c r="AR63" s="36"/>
    </row>
    <row r="64">
      <c r="AR64" s="36"/>
    </row>
    <row r="65">
      <c r="AR65" s="36"/>
    </row>
    <row r="66">
      <c r="AR66" s="36"/>
    </row>
    <row r="67">
      <c r="AR67" s="36"/>
    </row>
    <row r="68">
      <c r="AR68" s="36"/>
    </row>
    <row r="69">
      <c r="AR69" s="36"/>
    </row>
    <row r="70">
      <c r="AR70" s="36"/>
    </row>
    <row r="71">
      <c r="AR71" s="36"/>
    </row>
    <row r="72">
      <c r="AR72" s="36"/>
    </row>
    <row r="73">
      <c r="AR73" s="36"/>
    </row>
    <row r="74">
      <c r="AR74" s="36"/>
    </row>
    <row r="75">
      <c r="AR75" s="36"/>
    </row>
    <row r="76">
      <c r="AR76" s="36"/>
    </row>
    <row r="77">
      <c r="AR77" s="36"/>
    </row>
    <row r="78">
      <c r="AR78" s="36"/>
    </row>
    <row r="79">
      <c r="AR79" s="36"/>
    </row>
    <row r="80">
      <c r="AR80" s="36"/>
    </row>
    <row r="81">
      <c r="AR81" s="36"/>
    </row>
    <row r="82">
      <c r="AR82" s="36"/>
    </row>
    <row r="83">
      <c r="AR83" s="36"/>
    </row>
    <row r="84">
      <c r="AR84" s="36"/>
    </row>
    <row r="85">
      <c r="AR85" s="36"/>
    </row>
    <row r="86">
      <c r="AR86" s="36"/>
    </row>
    <row r="87">
      <c r="AR87" s="36"/>
    </row>
    <row r="88">
      <c r="AR88" s="36"/>
    </row>
    <row r="89">
      <c r="AR89" s="36"/>
    </row>
    <row r="90">
      <c r="AR90" s="36"/>
    </row>
    <row r="91">
      <c r="AR91" s="36"/>
    </row>
    <row r="92">
      <c r="AR92" s="36"/>
    </row>
    <row r="93">
      <c r="AR93" s="36"/>
    </row>
    <row r="94">
      <c r="AR94" s="36"/>
    </row>
    <row r="95">
      <c r="AR95" s="36"/>
    </row>
    <row r="96">
      <c r="AR96" s="36"/>
    </row>
    <row r="97">
      <c r="AR97" s="36"/>
    </row>
    <row r="98">
      <c r="AR98" s="36"/>
    </row>
    <row r="99">
      <c r="AR99" s="36"/>
    </row>
    <row r="100">
      <c r="AR100" s="36"/>
    </row>
    <row r="101">
      <c r="AR101" s="36"/>
    </row>
    <row r="102">
      <c r="AR102" s="36"/>
    </row>
    <row r="103">
      <c r="AR103" s="36"/>
    </row>
    <row r="104">
      <c r="AR104" s="36"/>
    </row>
    <row r="105">
      <c r="AR105" s="36"/>
    </row>
    <row r="106">
      <c r="AR106" s="36"/>
    </row>
    <row r="107">
      <c r="AR107" s="36"/>
    </row>
    <row r="108">
      <c r="AR108" s="36"/>
    </row>
    <row r="109">
      <c r="AR109" s="36"/>
    </row>
    <row r="110">
      <c r="AR110" s="36"/>
    </row>
    <row r="111">
      <c r="AR111" s="36"/>
    </row>
    <row r="112">
      <c r="AR112" s="36"/>
    </row>
    <row r="113">
      <c r="AR113" s="36"/>
    </row>
    <row r="114">
      <c r="AR114" s="36"/>
    </row>
    <row r="115">
      <c r="AR115" s="36"/>
    </row>
    <row r="116">
      <c r="AR116" s="36"/>
    </row>
    <row r="117">
      <c r="AR117" s="36"/>
    </row>
    <row r="118">
      <c r="AR118" s="36"/>
    </row>
    <row r="119">
      <c r="AR119" s="36"/>
    </row>
    <row r="120">
      <c r="AR120" s="36"/>
    </row>
    <row r="121">
      <c r="AR121" s="36"/>
    </row>
    <row r="122">
      <c r="AR122" s="36"/>
    </row>
    <row r="123">
      <c r="AR123" s="36"/>
    </row>
    <row r="124">
      <c r="AR124" s="36"/>
    </row>
    <row r="125">
      <c r="AR125" s="36"/>
    </row>
    <row r="126">
      <c r="AR126" s="36"/>
    </row>
    <row r="127">
      <c r="AR127" s="36"/>
    </row>
    <row r="128">
      <c r="AR128" s="36"/>
    </row>
    <row r="129">
      <c r="AR129" s="36"/>
    </row>
    <row r="130">
      <c r="AR130" s="36"/>
    </row>
    <row r="131">
      <c r="AR131" s="36"/>
    </row>
    <row r="132">
      <c r="AR132" s="36"/>
    </row>
    <row r="133">
      <c r="AR133" s="36"/>
    </row>
    <row r="134">
      <c r="AR134" s="36"/>
    </row>
    <row r="135">
      <c r="AR135" s="36"/>
    </row>
    <row r="136">
      <c r="AR136" s="36"/>
    </row>
    <row r="137">
      <c r="AR137" s="36"/>
    </row>
    <row r="138">
      <c r="AR138" s="36"/>
    </row>
    <row r="139">
      <c r="AR139" s="36"/>
    </row>
    <row r="140">
      <c r="AR140" s="36"/>
    </row>
    <row r="141">
      <c r="AR141" s="36"/>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 customWidth="1" min="3" max="3" width="32.13"/>
    <col customWidth="1" min="4" max="4" width="44.25"/>
    <col customWidth="1" min="5" max="5" width="56.5"/>
    <col customWidth="1" min="6" max="6" width="41.13"/>
  </cols>
  <sheetData>
    <row r="1">
      <c r="A1" s="1" t="s">
        <v>0</v>
      </c>
      <c r="B1" s="2" t="s">
        <v>1</v>
      </c>
      <c r="C1" s="2" t="s">
        <v>2</v>
      </c>
      <c r="D1" s="2" t="s">
        <v>3</v>
      </c>
      <c r="E1" s="2" t="s">
        <v>4</v>
      </c>
      <c r="F1" s="2" t="s">
        <v>5</v>
      </c>
    </row>
    <row r="2">
      <c r="A2" s="3">
        <v>1.0</v>
      </c>
      <c r="B2" s="4" t="s">
        <v>6</v>
      </c>
      <c r="C2" s="4" t="s">
        <v>7</v>
      </c>
      <c r="D2" s="5" t="s">
        <v>8</v>
      </c>
      <c r="E2" s="6" t="s">
        <v>9</v>
      </c>
      <c r="F2" s="7" t="s">
        <v>10</v>
      </c>
    </row>
    <row r="3">
      <c r="A3" s="3">
        <v>2.0</v>
      </c>
      <c r="B3" s="4" t="s">
        <v>11</v>
      </c>
      <c r="C3" s="4" t="s">
        <v>12</v>
      </c>
      <c r="D3" s="5" t="s">
        <v>13</v>
      </c>
      <c r="E3" s="6" t="s">
        <v>14</v>
      </c>
      <c r="F3" s="7" t="s">
        <v>15</v>
      </c>
    </row>
    <row r="4">
      <c r="A4" s="3">
        <v>3.0</v>
      </c>
      <c r="B4" s="4" t="s">
        <v>16</v>
      </c>
      <c r="C4" s="4" t="s">
        <v>17</v>
      </c>
      <c r="D4" s="5" t="s">
        <v>18</v>
      </c>
      <c r="E4" s="6" t="s">
        <v>19</v>
      </c>
      <c r="F4" s="7" t="s">
        <v>20</v>
      </c>
    </row>
    <row r="5">
      <c r="A5" s="3">
        <v>4.0</v>
      </c>
      <c r="B5" s="4" t="s">
        <v>21</v>
      </c>
      <c r="C5" s="4" t="s">
        <v>22</v>
      </c>
      <c r="D5" s="5" t="s">
        <v>23</v>
      </c>
      <c r="E5" s="6" t="s">
        <v>25</v>
      </c>
      <c r="F5" s="7" t="s">
        <v>26</v>
      </c>
    </row>
    <row r="6">
      <c r="A6" s="3">
        <v>5.0</v>
      </c>
      <c r="B6" s="4" t="s">
        <v>27</v>
      </c>
      <c r="C6" s="4" t="s">
        <v>28</v>
      </c>
      <c r="D6" s="5" t="s">
        <v>29</v>
      </c>
      <c r="E6" s="6" t="s">
        <v>35</v>
      </c>
      <c r="F6" s="7" t="s">
        <v>36</v>
      </c>
    </row>
    <row r="7">
      <c r="A7" s="3">
        <v>6.0</v>
      </c>
      <c r="B7" s="9" t="s">
        <v>43</v>
      </c>
      <c r="C7" s="4" t="s">
        <v>44</v>
      </c>
      <c r="D7" s="5" t="s">
        <v>45</v>
      </c>
      <c r="E7" s="6" t="s">
        <v>51</v>
      </c>
      <c r="F7" s="7" t="s">
        <v>52</v>
      </c>
    </row>
    <row r="8">
      <c r="A8" s="3">
        <v>7.0</v>
      </c>
      <c r="B8" s="4" t="s">
        <v>58</v>
      </c>
      <c r="C8" s="4" t="s">
        <v>59</v>
      </c>
      <c r="D8" s="5" t="s">
        <v>60</v>
      </c>
      <c r="E8" s="6" t="s">
        <v>66</v>
      </c>
      <c r="F8" s="7" t="s">
        <v>67</v>
      </c>
    </row>
    <row r="9">
      <c r="A9" s="3">
        <v>8.0</v>
      </c>
      <c r="B9" s="4" t="s">
        <v>74</v>
      </c>
      <c r="C9" s="4" t="s">
        <v>75</v>
      </c>
      <c r="D9" s="5" t="s">
        <v>76</v>
      </c>
      <c r="E9" s="6" t="s">
        <v>82</v>
      </c>
      <c r="F9" s="7" t="s">
        <v>83</v>
      </c>
    </row>
    <row r="10">
      <c r="A10" s="3">
        <v>34.0</v>
      </c>
      <c r="B10" s="4" t="s">
        <v>84</v>
      </c>
      <c r="C10" s="4" t="s">
        <v>85</v>
      </c>
      <c r="D10" s="5" t="s">
        <v>86</v>
      </c>
      <c r="E10" s="6" t="s">
        <v>88</v>
      </c>
      <c r="F10" s="16" t="s">
        <v>89</v>
      </c>
    </row>
    <row r="11">
      <c r="A11" s="3">
        <v>9.0</v>
      </c>
      <c r="B11" s="4" t="s">
        <v>94</v>
      </c>
      <c r="C11" s="4" t="s">
        <v>95</v>
      </c>
      <c r="D11" s="5" t="s">
        <v>96</v>
      </c>
      <c r="E11" s="6" t="s">
        <v>100</v>
      </c>
      <c r="F11" s="7" t="s">
        <v>101</v>
      </c>
    </row>
    <row r="12">
      <c r="A12" s="3">
        <v>10.0</v>
      </c>
      <c r="B12" s="4" t="s">
        <v>106</v>
      </c>
      <c r="C12" s="4" t="s">
        <v>107</v>
      </c>
      <c r="D12" s="5" t="s">
        <v>108</v>
      </c>
      <c r="E12" s="6" t="s">
        <v>112</v>
      </c>
      <c r="F12" s="7" t="s">
        <v>114</v>
      </c>
    </row>
    <row r="13">
      <c r="A13" s="3">
        <v>11.0</v>
      </c>
      <c r="B13" s="4" t="s">
        <v>116</v>
      </c>
      <c r="C13" s="4" t="s">
        <v>117</v>
      </c>
      <c r="D13" s="5" t="s">
        <v>118</v>
      </c>
      <c r="E13" s="6" t="s">
        <v>119</v>
      </c>
      <c r="F13" s="7" t="s">
        <v>120</v>
      </c>
    </row>
    <row r="14">
      <c r="A14" s="3">
        <v>12.0</v>
      </c>
      <c r="B14" s="4" t="s">
        <v>121</v>
      </c>
      <c r="C14" s="4" t="s">
        <v>122</v>
      </c>
      <c r="D14" s="5" t="s">
        <v>123</v>
      </c>
      <c r="E14" s="6" t="s">
        <v>124</v>
      </c>
      <c r="F14" s="7" t="s">
        <v>125</v>
      </c>
    </row>
    <row r="15">
      <c r="A15" s="3">
        <v>13.0</v>
      </c>
      <c r="B15" s="4" t="s">
        <v>126</v>
      </c>
      <c r="C15" s="4" t="s">
        <v>127</v>
      </c>
      <c r="D15" s="5" t="s">
        <v>128</v>
      </c>
      <c r="E15" s="6" t="s">
        <v>129</v>
      </c>
      <c r="F15" s="7" t="s">
        <v>130</v>
      </c>
    </row>
    <row r="16">
      <c r="A16" s="3">
        <v>14.0</v>
      </c>
      <c r="B16" s="4" t="s">
        <v>131</v>
      </c>
      <c r="C16" s="4" t="s">
        <v>132</v>
      </c>
      <c r="D16" s="5" t="s">
        <v>133</v>
      </c>
      <c r="E16" s="6" t="s">
        <v>134</v>
      </c>
      <c r="F16" s="7" t="s">
        <v>135</v>
      </c>
    </row>
    <row r="17">
      <c r="A17" s="3">
        <v>15.0</v>
      </c>
      <c r="B17" s="4" t="s">
        <v>140</v>
      </c>
      <c r="C17" s="4" t="s">
        <v>141</v>
      </c>
      <c r="D17" s="5" t="s">
        <v>142</v>
      </c>
      <c r="E17" s="6" t="s">
        <v>145</v>
      </c>
      <c r="F17" s="7" t="s">
        <v>146</v>
      </c>
    </row>
    <row r="18">
      <c r="A18" s="3">
        <v>16.0</v>
      </c>
      <c r="B18" s="4" t="s">
        <v>148</v>
      </c>
      <c r="C18" s="4" t="s">
        <v>149</v>
      </c>
      <c r="D18" s="5" t="s">
        <v>150</v>
      </c>
      <c r="E18" s="6" t="s">
        <v>152</v>
      </c>
      <c r="F18" s="7" t="s">
        <v>153</v>
      </c>
    </row>
    <row r="19">
      <c r="A19" s="3">
        <v>17.0</v>
      </c>
      <c r="B19" s="4" t="s">
        <v>154</v>
      </c>
      <c r="C19" s="4" t="s">
        <v>155</v>
      </c>
      <c r="D19" s="5" t="s">
        <v>156</v>
      </c>
      <c r="E19" s="6" t="s">
        <v>35</v>
      </c>
      <c r="F19" s="7" t="s">
        <v>157</v>
      </c>
    </row>
    <row r="20">
      <c r="A20" s="3">
        <v>18.0</v>
      </c>
      <c r="B20" s="4" t="s">
        <v>158</v>
      </c>
      <c r="C20" s="4" t="s">
        <v>159</v>
      </c>
      <c r="D20" s="5" t="s">
        <v>160</v>
      </c>
      <c r="E20" s="6" t="s">
        <v>161</v>
      </c>
      <c r="F20" s="7" t="s">
        <v>162</v>
      </c>
    </row>
    <row r="21">
      <c r="A21" s="3">
        <v>19.0</v>
      </c>
      <c r="B21" s="4" t="s">
        <v>165</v>
      </c>
      <c r="C21" s="4" t="s">
        <v>166</v>
      </c>
      <c r="D21" s="5" t="s">
        <v>167</v>
      </c>
      <c r="E21" s="6" t="s">
        <v>171</v>
      </c>
      <c r="F21" s="7" t="s">
        <v>172</v>
      </c>
    </row>
    <row r="22">
      <c r="A22" s="21">
        <v>20.0</v>
      </c>
      <c r="B22" s="4" t="s">
        <v>175</v>
      </c>
      <c r="C22" s="4" t="s">
        <v>176</v>
      </c>
      <c r="D22" s="5" t="s">
        <v>177</v>
      </c>
      <c r="E22" s="6" t="s">
        <v>178</v>
      </c>
      <c r="F22" s="7" t="s">
        <v>179</v>
      </c>
    </row>
    <row r="23">
      <c r="A23" s="3">
        <v>21.0</v>
      </c>
      <c r="B23" s="4" t="s">
        <v>180</v>
      </c>
      <c r="C23" s="22" t="s">
        <v>181</v>
      </c>
      <c r="D23" s="5" t="s">
        <v>182</v>
      </c>
      <c r="E23" s="6" t="s">
        <v>183</v>
      </c>
      <c r="F23" s="7" t="s">
        <v>184</v>
      </c>
    </row>
    <row r="24">
      <c r="A24" s="3">
        <v>22.0</v>
      </c>
      <c r="B24" s="4" t="s">
        <v>185</v>
      </c>
      <c r="C24" s="22" t="s">
        <v>186</v>
      </c>
      <c r="D24" s="5" t="s">
        <v>187</v>
      </c>
      <c r="E24" s="6" t="s">
        <v>189</v>
      </c>
      <c r="F24" s="7" t="s">
        <v>190</v>
      </c>
    </row>
    <row r="25">
      <c r="A25" s="3">
        <v>23.0</v>
      </c>
      <c r="B25" s="4" t="s">
        <v>193</v>
      </c>
      <c r="C25" s="4" t="s">
        <v>194</v>
      </c>
      <c r="D25" s="5" t="s">
        <v>195</v>
      </c>
      <c r="E25" s="6" t="s">
        <v>200</v>
      </c>
      <c r="F25" s="7" t="s">
        <v>201</v>
      </c>
    </row>
    <row r="26">
      <c r="A26" s="3">
        <v>24.0</v>
      </c>
      <c r="B26" s="4" t="s">
        <v>204</v>
      </c>
      <c r="C26" s="4" t="s">
        <v>205</v>
      </c>
      <c r="D26" s="5" t="s">
        <v>206</v>
      </c>
      <c r="E26" s="6" t="s">
        <v>207</v>
      </c>
      <c r="F26" s="24"/>
    </row>
    <row r="27">
      <c r="A27" s="3">
        <v>25.0</v>
      </c>
      <c r="B27" s="4" t="s">
        <v>208</v>
      </c>
      <c r="C27" s="22" t="s">
        <v>209</v>
      </c>
      <c r="D27" s="5" t="s">
        <v>210</v>
      </c>
      <c r="E27" s="6" t="s">
        <v>211</v>
      </c>
      <c r="F27" s="24"/>
    </row>
    <row r="28">
      <c r="A28" s="3">
        <v>26.0</v>
      </c>
      <c r="B28" s="4" t="s">
        <v>212</v>
      </c>
      <c r="C28" s="22" t="s">
        <v>213</v>
      </c>
      <c r="D28" s="5" t="s">
        <v>214</v>
      </c>
      <c r="E28" s="6" t="s">
        <v>216</v>
      </c>
      <c r="F28" s="7" t="s">
        <v>217</v>
      </c>
    </row>
    <row r="29">
      <c r="A29" s="3">
        <v>27.0</v>
      </c>
      <c r="B29" s="4" t="s">
        <v>221</v>
      </c>
      <c r="C29" s="22" t="s">
        <v>222</v>
      </c>
      <c r="D29" s="5" t="s">
        <v>224</v>
      </c>
      <c r="E29" s="6" t="s">
        <v>226</v>
      </c>
      <c r="F29" s="7" t="s">
        <v>227</v>
      </c>
    </row>
    <row r="30">
      <c r="A30" s="3">
        <v>28.0</v>
      </c>
      <c r="B30" s="9" t="s">
        <v>228</v>
      </c>
      <c r="C30" s="22" t="s">
        <v>229</v>
      </c>
      <c r="D30" s="5" t="s">
        <v>230</v>
      </c>
      <c r="E30" s="6" t="s">
        <v>19</v>
      </c>
      <c r="F30" s="7" t="s">
        <v>231</v>
      </c>
    </row>
    <row r="31">
      <c r="A31" s="3">
        <v>35.0</v>
      </c>
      <c r="B31" s="4" t="s">
        <v>232</v>
      </c>
      <c r="C31" s="22" t="s">
        <v>233</v>
      </c>
      <c r="D31" s="5" t="s">
        <v>234</v>
      </c>
      <c r="E31" s="6" t="s">
        <v>235</v>
      </c>
      <c r="F31" s="16" t="s">
        <v>236</v>
      </c>
    </row>
    <row r="32">
      <c r="A32" s="3">
        <v>29.0</v>
      </c>
      <c r="B32" s="4" t="s">
        <v>240</v>
      </c>
      <c r="C32" s="22" t="s">
        <v>241</v>
      </c>
      <c r="D32" s="5" t="s">
        <v>242</v>
      </c>
      <c r="E32" s="6" t="s">
        <v>245</v>
      </c>
      <c r="F32" s="7" t="s">
        <v>246</v>
      </c>
    </row>
    <row r="33">
      <c r="A33" s="3">
        <v>30.0</v>
      </c>
      <c r="B33" s="4" t="s">
        <v>250</v>
      </c>
      <c r="C33" s="4" t="s">
        <v>251</v>
      </c>
      <c r="D33" s="5" t="s">
        <v>253</v>
      </c>
      <c r="E33" s="6" t="s">
        <v>259</v>
      </c>
      <c r="F33" s="7" t="s">
        <v>260</v>
      </c>
    </row>
    <row r="34">
      <c r="A34" s="3">
        <v>31.0</v>
      </c>
      <c r="B34" s="4" t="s">
        <v>262</v>
      </c>
      <c r="C34" s="4" t="s">
        <v>263</v>
      </c>
      <c r="D34" s="5" t="s">
        <v>264</v>
      </c>
      <c r="E34" s="6" t="s">
        <v>265</v>
      </c>
      <c r="F34" s="7" t="s">
        <v>266</v>
      </c>
    </row>
    <row r="35">
      <c r="A35" s="3">
        <v>32.0</v>
      </c>
      <c r="B35" s="9" t="s">
        <v>267</v>
      </c>
      <c r="C35" s="4" t="s">
        <v>268</v>
      </c>
      <c r="D35" s="5" t="s">
        <v>269</v>
      </c>
      <c r="E35" s="6" t="s">
        <v>270</v>
      </c>
      <c r="F35" s="7" t="s">
        <v>271</v>
      </c>
    </row>
    <row r="36">
      <c r="A36" s="3">
        <v>33.0</v>
      </c>
      <c r="B36" s="27" t="s">
        <v>272</v>
      </c>
      <c r="C36" s="4" t="s">
        <v>273</v>
      </c>
      <c r="D36" s="5" t="s">
        <v>274</v>
      </c>
      <c r="E36" s="6" t="s">
        <v>275</v>
      </c>
      <c r="F36" s="7" t="s">
        <v>276</v>
      </c>
    </row>
    <row r="37">
      <c r="A37" s="3">
        <v>36.0</v>
      </c>
      <c r="B37" s="4" t="s">
        <v>280</v>
      </c>
      <c r="C37" s="22" t="s">
        <v>281</v>
      </c>
      <c r="D37" s="5" t="s">
        <v>282</v>
      </c>
      <c r="E37" s="6" t="s">
        <v>283</v>
      </c>
      <c r="F37" s="24"/>
    </row>
    <row r="38">
      <c r="A38" s="3">
        <v>37.0</v>
      </c>
      <c r="B38" s="4" t="s">
        <v>284</v>
      </c>
      <c r="C38" s="4" t="s">
        <v>285</v>
      </c>
      <c r="D38" s="5" t="s">
        <v>286</v>
      </c>
      <c r="E38" s="6" t="s">
        <v>287</v>
      </c>
      <c r="F38" s="24"/>
    </row>
    <row r="39">
      <c r="A39" s="3">
        <v>38.0</v>
      </c>
      <c r="B39" s="9" t="s">
        <v>288</v>
      </c>
      <c r="C39" s="4" t="s">
        <v>289</v>
      </c>
      <c r="D39" s="5" t="s">
        <v>290</v>
      </c>
      <c r="E39" s="2" t="s">
        <v>291</v>
      </c>
      <c r="F39" s="24"/>
    </row>
    <row r="40">
      <c r="A40" s="3">
        <v>39.0</v>
      </c>
      <c r="B40" s="4" t="s">
        <v>292</v>
      </c>
      <c r="C40" s="4" t="s">
        <v>293</v>
      </c>
      <c r="D40" s="5" t="s">
        <v>294</v>
      </c>
      <c r="E40" s="6" t="s">
        <v>295</v>
      </c>
      <c r="F40" s="24"/>
    </row>
    <row r="41">
      <c r="A41" s="3">
        <v>40.0</v>
      </c>
      <c r="B41" s="4" t="s">
        <v>296</v>
      </c>
      <c r="C41" s="4" t="s">
        <v>297</v>
      </c>
      <c r="D41" s="5" t="s">
        <v>298</v>
      </c>
      <c r="E41" s="6" t="s">
        <v>299</v>
      </c>
      <c r="F41" s="16" t="s">
        <v>300</v>
      </c>
    </row>
    <row r="42">
      <c r="A42" s="3">
        <v>41.0</v>
      </c>
      <c r="B42" s="4" t="s">
        <v>301</v>
      </c>
      <c r="C42" s="4" t="s">
        <v>302</v>
      </c>
      <c r="D42" s="5" t="s">
        <v>303</v>
      </c>
      <c r="E42" s="6" t="s">
        <v>189</v>
      </c>
      <c r="F42" s="16" t="s">
        <v>305</v>
      </c>
    </row>
    <row r="43">
      <c r="A43" s="3">
        <v>42.0</v>
      </c>
      <c r="B43" s="4" t="s">
        <v>306</v>
      </c>
      <c r="C43" s="4" t="s">
        <v>307</v>
      </c>
      <c r="D43" s="5" t="s">
        <v>308</v>
      </c>
      <c r="E43" s="6" t="s">
        <v>309</v>
      </c>
      <c r="F43" s="16" t="s">
        <v>311</v>
      </c>
    </row>
    <row r="44">
      <c r="A44" s="3">
        <v>43.0</v>
      </c>
      <c r="B44" s="4" t="s">
        <v>314</v>
      </c>
      <c r="C44" s="4" t="s">
        <v>315</v>
      </c>
      <c r="D44" s="5" t="s">
        <v>316</v>
      </c>
      <c r="E44" s="6" t="s">
        <v>320</v>
      </c>
      <c r="F44" s="16" t="s">
        <v>321</v>
      </c>
    </row>
    <row r="45">
      <c r="A45" s="3">
        <v>44.0</v>
      </c>
      <c r="B45" s="4" t="s">
        <v>322</v>
      </c>
      <c r="C45" s="4" t="s">
        <v>323</v>
      </c>
      <c r="D45" s="5" t="s">
        <v>324</v>
      </c>
      <c r="E45" s="6" t="s">
        <v>325</v>
      </c>
      <c r="F45" s="16" t="s">
        <v>326</v>
      </c>
    </row>
    <row r="46">
      <c r="A46" s="3">
        <v>45.0</v>
      </c>
      <c r="B46" s="4" t="s">
        <v>327</v>
      </c>
      <c r="C46" s="4" t="s">
        <v>328</v>
      </c>
      <c r="D46" s="5" t="s">
        <v>329</v>
      </c>
      <c r="E46" s="2" t="s">
        <v>299</v>
      </c>
      <c r="F46" s="24"/>
    </row>
    <row r="47">
      <c r="A47" s="3">
        <v>46.0</v>
      </c>
      <c r="B47" s="4" t="s">
        <v>330</v>
      </c>
      <c r="C47" s="4" t="s">
        <v>331</v>
      </c>
      <c r="D47" s="5" t="s">
        <v>332</v>
      </c>
      <c r="E47" s="6" t="s">
        <v>337</v>
      </c>
      <c r="F47" s="28"/>
    </row>
    <row r="48">
      <c r="A48" s="3">
        <v>47.0</v>
      </c>
      <c r="B48" s="4" t="s">
        <v>339</v>
      </c>
      <c r="C48" s="4" t="s">
        <v>340</v>
      </c>
      <c r="D48" s="5" t="s">
        <v>341</v>
      </c>
      <c r="E48" s="6" t="s">
        <v>342</v>
      </c>
      <c r="F48" s="28"/>
    </row>
    <row r="49">
      <c r="A49" s="3">
        <v>48.0</v>
      </c>
      <c r="B49" s="4" t="s">
        <v>343</v>
      </c>
      <c r="C49" s="4" t="s">
        <v>344</v>
      </c>
      <c r="D49" s="5" t="s">
        <v>345</v>
      </c>
      <c r="E49" s="6" t="s">
        <v>346</v>
      </c>
      <c r="F49" s="16" t="s">
        <v>347</v>
      </c>
    </row>
    <row r="50">
      <c r="A50" s="3">
        <v>49.0</v>
      </c>
      <c r="B50" s="4" t="s">
        <v>350</v>
      </c>
      <c r="C50" s="4" t="s">
        <v>351</v>
      </c>
      <c r="D50" s="5" t="s">
        <v>352</v>
      </c>
      <c r="E50" s="6" t="s">
        <v>356</v>
      </c>
      <c r="F50" s="16" t="s">
        <v>357</v>
      </c>
    </row>
    <row r="51">
      <c r="A51" s="3">
        <v>50.0</v>
      </c>
      <c r="B51" s="9" t="s">
        <v>358</v>
      </c>
      <c r="C51" s="4" t="s">
        <v>359</v>
      </c>
      <c r="D51" s="5" t="s">
        <v>360</v>
      </c>
      <c r="E51" s="6" t="s">
        <v>361</v>
      </c>
      <c r="F51" s="16" t="s">
        <v>362</v>
      </c>
    </row>
    <row r="52">
      <c r="A52" s="3">
        <v>51.0</v>
      </c>
      <c r="B52" s="4" t="s">
        <v>363</v>
      </c>
      <c r="C52" s="4" t="s">
        <v>364</v>
      </c>
      <c r="D52" s="5" t="s">
        <v>365</v>
      </c>
      <c r="E52" s="6" t="s">
        <v>366</v>
      </c>
      <c r="F52" s="16" t="s">
        <v>367</v>
      </c>
    </row>
    <row r="53">
      <c r="A53" s="3">
        <v>52.0</v>
      </c>
      <c r="B53" s="9" t="s">
        <v>369</v>
      </c>
      <c r="C53" s="9" t="s">
        <v>370</v>
      </c>
      <c r="D53" s="5" t="s">
        <v>371</v>
      </c>
      <c r="E53" s="6" t="s">
        <v>372</v>
      </c>
      <c r="F53" s="16" t="s">
        <v>373</v>
      </c>
    </row>
    <row r="54">
      <c r="A54" s="3">
        <v>53.0</v>
      </c>
      <c r="B54" s="4" t="s">
        <v>378</v>
      </c>
      <c r="C54" s="4" t="s">
        <v>379</v>
      </c>
      <c r="D54" s="5" t="s">
        <v>380</v>
      </c>
      <c r="E54" s="6" t="s">
        <v>384</v>
      </c>
      <c r="F54" s="16" t="s">
        <v>385</v>
      </c>
    </row>
    <row r="55">
      <c r="A55" s="3">
        <v>54.0</v>
      </c>
      <c r="B55" s="4" t="s">
        <v>386</v>
      </c>
      <c r="C55" s="4" t="s">
        <v>387</v>
      </c>
      <c r="D55" s="5" t="s">
        <v>388</v>
      </c>
      <c r="E55" s="6" t="s">
        <v>389</v>
      </c>
      <c r="F55" s="16" t="s">
        <v>390</v>
      </c>
    </row>
    <row r="56">
      <c r="A56" s="3">
        <v>55.0</v>
      </c>
      <c r="B56" s="4" t="s">
        <v>391</v>
      </c>
      <c r="C56" s="4" t="s">
        <v>392</v>
      </c>
      <c r="D56" s="5" t="s">
        <v>393</v>
      </c>
      <c r="E56" s="6" t="s">
        <v>394</v>
      </c>
      <c r="F56" s="16" t="s">
        <v>395</v>
      </c>
    </row>
    <row r="57">
      <c r="A57" s="3">
        <v>56.0</v>
      </c>
      <c r="B57" s="4" t="s">
        <v>396</v>
      </c>
      <c r="C57" s="4" t="s">
        <v>397</v>
      </c>
      <c r="D57" s="5" t="s">
        <v>398</v>
      </c>
      <c r="E57" s="6" t="s">
        <v>394</v>
      </c>
      <c r="F57" s="16" t="s">
        <v>399</v>
      </c>
    </row>
    <row r="58">
      <c r="A58" s="3">
        <v>58.0</v>
      </c>
      <c r="B58" s="9" t="s">
        <v>402</v>
      </c>
      <c r="C58" s="9" t="s">
        <v>403</v>
      </c>
      <c r="D58" s="5" t="s">
        <v>404</v>
      </c>
      <c r="E58" s="6" t="s">
        <v>408</v>
      </c>
      <c r="F58" s="16" t="s">
        <v>409</v>
      </c>
    </row>
    <row r="59">
      <c r="A59" s="3">
        <v>59.0</v>
      </c>
      <c r="B59" s="4" t="s">
        <v>410</v>
      </c>
      <c r="C59" s="29"/>
      <c r="D59" s="5" t="s">
        <v>411</v>
      </c>
      <c r="E59" s="6" t="s">
        <v>412</v>
      </c>
      <c r="F59" s="16" t="s">
        <v>413</v>
      </c>
    </row>
    <row r="60">
      <c r="A60" s="3">
        <v>60.0</v>
      </c>
      <c r="B60" s="4" t="s">
        <v>414</v>
      </c>
      <c r="C60" s="29"/>
      <c r="D60" s="5" t="s">
        <v>415</v>
      </c>
    </row>
    <row r="61">
      <c r="A61" s="21">
        <v>61.0</v>
      </c>
      <c r="B61" s="4" t="s">
        <v>416</v>
      </c>
      <c r="C61" s="29"/>
      <c r="D61" s="5" t="s">
        <v>417</v>
      </c>
    </row>
    <row r="62">
      <c r="A62" s="3">
        <v>57.0</v>
      </c>
      <c r="B62" s="4" t="s">
        <v>419</v>
      </c>
      <c r="C62" s="4" t="s">
        <v>420</v>
      </c>
      <c r="D62" s="5" t="s">
        <v>421</v>
      </c>
      <c r="E62" s="6" t="s">
        <v>124</v>
      </c>
      <c r="F62" s="30" t="s">
        <v>423</v>
      </c>
    </row>
  </sheetData>
  <hyperlinks>
    <hyperlink r:id="rId1" ref="D2"/>
    <hyperlink r:id="rId2" ref="F2"/>
    <hyperlink r:id="rId3" ref="D3"/>
    <hyperlink r:id="rId4" ref="F3"/>
    <hyperlink r:id="rId5" ref="D4"/>
    <hyperlink r:id="rId6" ref="F4"/>
    <hyperlink r:id="rId7" ref="D5"/>
    <hyperlink r:id="rId8" ref="F5"/>
    <hyperlink r:id="rId9" ref="D6"/>
    <hyperlink r:id="rId10" ref="F6"/>
    <hyperlink r:id="rId11" ref="D7"/>
    <hyperlink r:id="rId12" ref="F7"/>
    <hyperlink r:id="rId13" ref="D8"/>
    <hyperlink r:id="rId14" ref="F8"/>
    <hyperlink r:id="rId15" ref="D9"/>
    <hyperlink r:id="rId16" ref="F9"/>
    <hyperlink r:id="rId17" ref="D10"/>
    <hyperlink r:id="rId18" ref="F10"/>
    <hyperlink r:id="rId19" ref="D11"/>
    <hyperlink r:id="rId20" ref="F11"/>
    <hyperlink r:id="rId21" ref="D12"/>
    <hyperlink r:id="rId22" ref="F12"/>
    <hyperlink r:id="rId23" ref="D13"/>
    <hyperlink r:id="rId24" ref="F13"/>
    <hyperlink r:id="rId25" ref="D14"/>
    <hyperlink r:id="rId26" ref="F14"/>
    <hyperlink r:id="rId27" ref="D15"/>
    <hyperlink r:id="rId28" ref="F15"/>
    <hyperlink r:id="rId29" ref="D16"/>
    <hyperlink r:id="rId30" ref="F16"/>
    <hyperlink r:id="rId31" ref="D17"/>
    <hyperlink r:id="rId32" ref="F17"/>
    <hyperlink r:id="rId33" ref="D18"/>
    <hyperlink r:id="rId34" ref="F18"/>
    <hyperlink r:id="rId35" ref="D19"/>
    <hyperlink r:id="rId36" ref="F19"/>
    <hyperlink r:id="rId37" ref="D20"/>
    <hyperlink r:id="rId38" ref="F20"/>
    <hyperlink r:id="rId39" ref="D21"/>
    <hyperlink r:id="rId40" ref="F21"/>
    <hyperlink r:id="rId41" ref="D22"/>
    <hyperlink r:id="rId42" ref="F22"/>
    <hyperlink r:id="rId43" ref="D23"/>
    <hyperlink r:id="rId44" ref="F23"/>
    <hyperlink r:id="rId45" ref="D24"/>
    <hyperlink r:id="rId46" ref="F24"/>
    <hyperlink r:id="rId47" ref="D25"/>
    <hyperlink r:id="rId48" ref="F25"/>
    <hyperlink r:id="rId49" ref="D26"/>
    <hyperlink r:id="rId50" ref="D27"/>
    <hyperlink r:id="rId51" ref="D28"/>
    <hyperlink r:id="rId52" ref="F28"/>
    <hyperlink r:id="rId53" ref="D29"/>
    <hyperlink r:id="rId54" ref="F29"/>
    <hyperlink r:id="rId55" ref="D30"/>
    <hyperlink r:id="rId56" ref="F30"/>
    <hyperlink r:id="rId57" ref="D31"/>
    <hyperlink r:id="rId58" ref="F31"/>
    <hyperlink r:id="rId59" ref="D32"/>
    <hyperlink r:id="rId60" ref="F32"/>
    <hyperlink r:id="rId61" ref="D33"/>
    <hyperlink r:id="rId62" ref="F33"/>
    <hyperlink r:id="rId63" ref="D34"/>
    <hyperlink r:id="rId64" ref="F34"/>
    <hyperlink r:id="rId65" ref="D35"/>
    <hyperlink r:id="rId66" ref="F35"/>
    <hyperlink r:id="rId67" ref="D36"/>
    <hyperlink r:id="rId68" ref="F36"/>
    <hyperlink r:id="rId69" ref="D37"/>
    <hyperlink r:id="rId70" ref="D38"/>
    <hyperlink r:id="rId71" ref="D39"/>
    <hyperlink r:id="rId72" ref="D40"/>
    <hyperlink r:id="rId73" ref="D41"/>
    <hyperlink r:id="rId74" ref="F41"/>
    <hyperlink r:id="rId75" ref="D42"/>
    <hyperlink r:id="rId76" ref="F42"/>
    <hyperlink r:id="rId77" ref="D43"/>
    <hyperlink r:id="rId78" ref="F43"/>
    <hyperlink r:id="rId79" ref="D44"/>
    <hyperlink r:id="rId80" ref="F44"/>
    <hyperlink r:id="rId81" ref="D45"/>
    <hyperlink r:id="rId82" ref="F45"/>
    <hyperlink r:id="rId83" ref="D46"/>
    <hyperlink r:id="rId84" ref="D47"/>
    <hyperlink r:id="rId85" ref="D48"/>
    <hyperlink r:id="rId86" ref="D49"/>
    <hyperlink r:id="rId87" ref="F49"/>
    <hyperlink r:id="rId88" ref="D50"/>
    <hyperlink r:id="rId89" ref="F50"/>
    <hyperlink r:id="rId90" ref="D51"/>
    <hyperlink r:id="rId91" ref="F51"/>
    <hyperlink r:id="rId92" ref="D52"/>
    <hyperlink r:id="rId93" ref="F52"/>
    <hyperlink r:id="rId94" ref="D53"/>
    <hyperlink r:id="rId95" ref="F53"/>
    <hyperlink r:id="rId96" ref="D54"/>
    <hyperlink r:id="rId97" ref="F54"/>
    <hyperlink r:id="rId98" ref="D55"/>
    <hyperlink r:id="rId99" ref="F55"/>
    <hyperlink r:id="rId100" ref="D56"/>
    <hyperlink r:id="rId101" ref="F56"/>
    <hyperlink r:id="rId102" ref="D57"/>
    <hyperlink r:id="rId103" ref="F57"/>
    <hyperlink r:id="rId104" ref="D58"/>
    <hyperlink r:id="rId105" ref="F58"/>
    <hyperlink r:id="rId106" ref="D59"/>
    <hyperlink r:id="rId107" ref="F59"/>
    <hyperlink r:id="rId108" ref="D60"/>
    <hyperlink r:id="rId109" ref="D61"/>
    <hyperlink r:id="rId110" ref="D62"/>
    <hyperlink r:id="rId111" ref="F62"/>
  </hyperlinks>
  <drawing r:id="rId112"/>
</worksheet>
</file>